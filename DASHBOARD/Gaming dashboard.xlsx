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DELL\Downloads\Gaming console dashboard\"/>
    </mc:Choice>
  </mc:AlternateContent>
  <xr:revisionPtr revIDLastSave="0" documentId="8_{77BFE38F-B209-4442-AEAE-145192E438AC}" xr6:coauthVersionLast="47" xr6:coauthVersionMax="47" xr10:uidLastSave="{00000000-0000-0000-0000-000000000000}"/>
  <bookViews>
    <workbookView xWindow="-120" yWindow="-120" windowWidth="20730" windowHeight="11160" activeTab="2" xr2:uid="{1DDEC9B0-B6E7-4A8C-86FF-113C1A081B1D}"/>
  </bookViews>
  <sheets>
    <sheet name="DATASET" sheetId="2" r:id="rId1"/>
    <sheet name="ANALYSIS" sheetId="3" r:id="rId2"/>
    <sheet name="DASHBOARD" sheetId="5" r:id="rId3"/>
  </sheets>
  <externalReferences>
    <externalReference r:id="rId4"/>
  </externalReferences>
  <definedNames>
    <definedName name="COST">[1]PIVOT!$G$6</definedName>
    <definedName name="ExternalData_1" localSheetId="0" hidden="1">DATASET!$A$1:$J$101</definedName>
    <definedName name="Mbudget">ANALYSIS!$H$6</definedName>
    <definedName name="mTrend">ANALYSIS!$B$13</definedName>
    <definedName name="peak">[1]PIVOT!$A$9</definedName>
    <definedName name="PPcosst">ANALYSIS!$H$7</definedName>
    <definedName name="reg">[1]PIVOT!$G$10</definedName>
    <definedName name="renvenue">ANALYSIS!$H$5</definedName>
    <definedName name="REVENUE">[1]PIVOT!$G$4</definedName>
    <definedName name="Rtrend">ANALYSIS!$H$12</definedName>
    <definedName name="Slicer_Console_Brand">#N/A</definedName>
    <definedName name="UNITS">ANALYSIS!$H$4</definedName>
  </definedNames>
  <calcPr calcId="181029"/>
  <pivotCaches>
    <pivotCache cacheId="8" r:id="rId5"/>
  </pivotCaches>
  <fileRecoveryPr repairLoad="1"/>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2" i="3" l="1"/>
  <c r="B13" i="3"/>
  <c r="H7" i="3"/>
  <c r="H6" i="3"/>
  <c r="H5" i="3"/>
  <c r="H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16A95A0-7E35-4BEE-A5F8-1C000A5049F6}" keepAlive="1" name="Query - Gaming Console Dataset" description="Connection to the 'Gaming Console Dataset' query in the workbook." type="5" refreshedVersion="8" background="1" saveData="1">
    <dbPr connection="Provider=Microsoft.Mashup.OleDb.1;Data Source=$Workbook$;Location=&quot;Gaming Console Dataset&quot;;Extended Properties=&quot;&quot;" command="SELECT * FROM [Gaming Console Dataset]"/>
  </connection>
</connections>
</file>

<file path=xl/sharedStrings.xml><?xml version="1.0" encoding="utf-8"?>
<sst xmlns="http://schemas.openxmlformats.org/spreadsheetml/2006/main" count="464" uniqueCount="53">
  <si>
    <t>Date</t>
  </si>
  <si>
    <t>Console Brand</t>
  </si>
  <si>
    <t>Units Sold</t>
  </si>
  <si>
    <t>Revenue ($)</t>
  </si>
  <si>
    <t>Region</t>
  </si>
  <si>
    <t>Customer Segment</t>
  </si>
  <si>
    <t>Sales Channel</t>
  </si>
  <si>
    <t>Marketing Budget ($)</t>
  </si>
  <si>
    <t>Return Rate (%)</t>
  </si>
  <si>
    <t>Product Cost ($)</t>
  </si>
  <si>
    <t>Nintendo Switch</t>
  </si>
  <si>
    <t>Africa</t>
  </si>
  <si>
    <t>Adult</t>
  </si>
  <si>
    <t>Retail</t>
  </si>
  <si>
    <t>PlayStation 5</t>
  </si>
  <si>
    <t>Europe</t>
  </si>
  <si>
    <t>Hardcore Gamer</t>
  </si>
  <si>
    <t>Asia</t>
  </si>
  <si>
    <t>Casual Gamer</t>
  </si>
  <si>
    <t>North America</t>
  </si>
  <si>
    <t>Online</t>
  </si>
  <si>
    <t>Xbox Series X</t>
  </si>
  <si>
    <t>Teen</t>
  </si>
  <si>
    <t>South America</t>
  </si>
  <si>
    <t>Sum of Units Sold</t>
  </si>
  <si>
    <t>Sum of Revenue ($)</t>
  </si>
  <si>
    <t>Sum of Marketing Budget ($)</t>
  </si>
  <si>
    <t>Sum of Product Cost ($)</t>
  </si>
  <si>
    <t>KEY PERFORMANCE INDICATOR</t>
  </si>
  <si>
    <t>UNITS</t>
  </si>
  <si>
    <t>Revenue</t>
  </si>
  <si>
    <t>Marketing Budget</t>
  </si>
  <si>
    <t>Product Cost</t>
  </si>
  <si>
    <t>MONTHLY SALES TREND</t>
  </si>
  <si>
    <t xml:space="preserve">ANALYSIS </t>
  </si>
  <si>
    <t>Row Labels</t>
  </si>
  <si>
    <t>Grand Total</t>
  </si>
  <si>
    <t>Jan</t>
  </si>
  <si>
    <t>Feb</t>
  </si>
  <si>
    <t>Mar</t>
  </si>
  <si>
    <t>Apr</t>
  </si>
  <si>
    <t>May</t>
  </si>
  <si>
    <t>Jul</t>
  </si>
  <si>
    <t>Aug</t>
  </si>
  <si>
    <t>Sep</t>
  </si>
  <si>
    <t>Oct</t>
  </si>
  <si>
    <t>Nov</t>
  </si>
  <si>
    <t>Dec</t>
  </si>
  <si>
    <t>CUSTOMERS SEGMENT</t>
  </si>
  <si>
    <t>Count of Customer Segment</t>
  </si>
  <si>
    <t>REGION</t>
  </si>
  <si>
    <t>SALES TYPE</t>
  </si>
  <si>
    <t>Count of Sales Channel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</si>
</sst>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gt;=1000000]\$0.0,,&quot;M&quot;;[&gt;=1000]\$0.0&quot;K&quot;\4;0"/>
    <numFmt numFmtId="165" formatCode="[&gt;=1000000]\₦0.0,,&quot;M&quot;;[&gt;=1000]\$0.0&quot;K&quot;;0"/>
    <numFmt numFmtId="166" formatCode="[&gt;=1000000]\$0.0,,&quot;M&quot;;[&gt;=1000]\$0.0&quot;K&quot;;0"/>
  </numFmts>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rgb="FF808080"/>
        <bgColor indexed="64"/>
      </patternFill>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0" fontId="0" fillId="0" borderId="0" xfId="0" pivotButton="1"/>
    <xf numFmtId="164" fontId="0" fillId="0" borderId="0" xfId="0" applyNumberFormat="1"/>
    <xf numFmtId="165" fontId="0" fillId="0" borderId="0" xfId="0" applyNumberFormat="1"/>
    <xf numFmtId="166" fontId="0" fillId="0" borderId="0" xfId="0" applyNumberFormat="1"/>
    <xf numFmtId="0" fontId="0" fillId="0" borderId="0" xfId="0" applyAlignment="1">
      <alignment horizontal="left"/>
    </xf>
    <xf numFmtId="1" fontId="0" fillId="0" borderId="0" xfId="0" applyNumberFormat="1"/>
    <xf numFmtId="0" fontId="0" fillId="2" borderId="0" xfId="0" applyFill="1"/>
    <xf numFmtId="0" fontId="0" fillId="0" borderId="0" xfId="0" applyAlignment="1">
      <alignment horizontal="center"/>
    </xf>
  </cellXfs>
  <cellStyles count="1">
    <cellStyle name="Normal" xfId="0" builtinId="0"/>
  </cellStyles>
  <dxfs count="157">
    <dxf>
      <numFmt numFmtId="165" formatCode="[&gt;=1000000]\₦0.0,,&quot;M&quot;;[&gt;=1000]\$0.0&quot;K&quot;;0"/>
    </dxf>
    <dxf>
      <numFmt numFmtId="165" formatCode="[&gt;=1000000]\₦0.0,,&quot;M&quot;;[&gt;=1000]\$0.0&quot;K&quot;;0"/>
    </dxf>
    <dxf>
      <numFmt numFmtId="1" formatCode="0"/>
    </dxf>
    <dxf>
      <numFmt numFmtId="165" formatCode="[&gt;=1000000]\₦0.0,,&quot;M&quot;;[&gt;=1000]\$0.0&quot;K&quot;;0"/>
    </dxf>
    <dxf>
      <numFmt numFmtId="1" formatCode="0"/>
    </dxf>
    <dxf>
      <numFmt numFmtId="165" formatCode="[&gt;=1000000]\₦0.0,,&quot;M&quot;;[&gt;=1000]\$0.0&quot;K&quot;;0"/>
    </dxf>
    <dxf>
      <numFmt numFmtId="1" formatCode="0"/>
    </dxf>
    <dxf>
      <numFmt numFmtId="1" formatCode="0"/>
    </dxf>
    <dxf>
      <numFmt numFmtId="1" formatCode="0"/>
    </dxf>
    <dxf>
      <numFmt numFmtId="164" formatCode="[&gt;=1000000]\$0.0,,&quot;M&quot;;[&gt;=1000]\$0.0&quot;K&quot;\4;0"/>
    </dxf>
    <dxf>
      <numFmt numFmtId="164" formatCode="[&gt;=1000000]\$0.0,,&quot;M&quot;;[&gt;=1000]\$0.0&quot;K&quot;\4;0"/>
    </dxf>
    <dxf>
      <numFmt numFmtId="164" formatCode="[&gt;=1000000]\$0.0,,&quot;M&quot;;[&gt;=1000]\$0.0&quot;K&quot;\4;0"/>
    </dxf>
    <dxf>
      <numFmt numFmtId="165" formatCode="[&gt;=1000000]\₦0.0,,&quot;M&quot;;[&gt;=1000]\$0.0&quot;K&quot;;0"/>
    </dxf>
    <dxf>
      <numFmt numFmtId="1" formatCode="0"/>
    </dxf>
    <dxf>
      <numFmt numFmtId="1" formatCode="0"/>
    </dxf>
    <dxf>
      <numFmt numFmtId="165" formatCode="[&gt;=1000000]\₦0.0,,&quot;M&quot;;[&gt;=1000]\$0.0&quot;K&quot;;0"/>
    </dxf>
    <dxf>
      <numFmt numFmtId="165" formatCode="[&gt;=1000000]\₦0.0,,&quot;M&quot;;[&gt;=1000]\$0.0&quot;K&quot;;0"/>
    </dxf>
    <dxf>
      <numFmt numFmtId="1" formatCode="0"/>
    </dxf>
    <dxf>
      <numFmt numFmtId="165" formatCode="[&gt;=1000000]\₦0.0,,&quot;M&quot;;[&gt;=1000]\$0.0&quot;K&quot;;0"/>
    </dxf>
    <dxf>
      <numFmt numFmtId="1" formatCode="0"/>
    </dxf>
    <dxf>
      <numFmt numFmtId="165" formatCode="[&gt;=1000000]\₦0.0,,&quot;M&quot;;[&gt;=1000]\$0.0&quot;K&quot;;0"/>
    </dxf>
    <dxf>
      <numFmt numFmtId="1" formatCode="0"/>
    </dxf>
    <dxf>
      <numFmt numFmtId="1" formatCode="0"/>
    </dxf>
    <dxf>
      <numFmt numFmtId="1" formatCode="0"/>
    </dxf>
    <dxf>
      <numFmt numFmtId="164" formatCode="[&gt;=1000000]\$0.0,,&quot;M&quot;;[&gt;=1000]\$0.0&quot;K&quot;\4;0"/>
    </dxf>
    <dxf>
      <numFmt numFmtId="164" formatCode="[&gt;=1000000]\$0.0,,&quot;M&quot;;[&gt;=1000]\$0.0&quot;K&quot;\4;0"/>
    </dxf>
    <dxf>
      <numFmt numFmtId="164" formatCode="[&gt;=1000000]\$0.0,,&quot;M&quot;;[&gt;=1000]\$0.0&quot;K&quot;\4;0"/>
    </dxf>
    <dxf>
      <numFmt numFmtId="165" formatCode="[&gt;=1000000]\₦0.0,,&quot;M&quot;;[&gt;=1000]\$0.0&quot;K&quot;;0"/>
    </dxf>
    <dxf>
      <numFmt numFmtId="1" formatCode="0"/>
    </dxf>
    <dxf>
      <numFmt numFmtId="1" formatCode="0"/>
    </dxf>
    <dxf>
      <numFmt numFmtId="165" formatCode="[&gt;=1000000]\₦0.0,,&quot;M&quot;;[&gt;=1000]\$0.0&quot;K&quot;;0"/>
    </dxf>
    <dxf>
      <numFmt numFmtId="165" formatCode="[&gt;=1000000]\₦0.0,,&quot;M&quot;;[&gt;=1000]\$0.0&quot;K&quot;;0"/>
    </dxf>
    <dxf>
      <numFmt numFmtId="1" formatCode="0"/>
    </dxf>
    <dxf>
      <numFmt numFmtId="165" formatCode="[&gt;=1000000]\₦0.0,,&quot;M&quot;;[&gt;=1000]\$0.0&quot;K&quot;;0"/>
    </dxf>
    <dxf>
      <numFmt numFmtId="1" formatCode="0"/>
    </dxf>
    <dxf>
      <numFmt numFmtId="165" formatCode="[&gt;=1000000]\₦0.0,,&quot;M&quot;;[&gt;=1000]\$0.0&quot;K&quot;;0"/>
    </dxf>
    <dxf>
      <numFmt numFmtId="1" formatCode="0"/>
    </dxf>
    <dxf>
      <numFmt numFmtId="1" formatCode="0"/>
    </dxf>
    <dxf>
      <numFmt numFmtId="1" formatCode="0"/>
    </dxf>
    <dxf>
      <numFmt numFmtId="164" formatCode="[&gt;=1000000]\$0.0,,&quot;M&quot;;[&gt;=1000]\$0.0&quot;K&quot;\4;0"/>
    </dxf>
    <dxf>
      <numFmt numFmtId="164" formatCode="[&gt;=1000000]\$0.0,,&quot;M&quot;;[&gt;=1000]\$0.0&quot;K&quot;\4;0"/>
    </dxf>
    <dxf>
      <numFmt numFmtId="164" formatCode="[&gt;=1000000]\$0.0,,&quot;M&quot;;[&gt;=1000]\$0.0&quot;K&quot;\4;0"/>
    </dxf>
    <dxf>
      <numFmt numFmtId="165" formatCode="[&gt;=1000000]\₦0.0,,&quot;M&quot;;[&gt;=1000]\$0.0&quot;K&quot;;0"/>
    </dxf>
    <dxf>
      <numFmt numFmtId="1" formatCode="0"/>
    </dxf>
    <dxf>
      <numFmt numFmtId="1" formatCode="0"/>
    </dxf>
    <dxf>
      <numFmt numFmtId="165" formatCode="[&gt;=1000000]\₦0.0,,&quot;M&quot;;[&gt;=1000]\$0.0&quot;K&quot;;0"/>
    </dxf>
    <dxf>
      <numFmt numFmtId="165" formatCode="[&gt;=1000000]\₦0.0,,&quot;M&quot;;[&gt;=1000]\$0.0&quot;K&quot;;0"/>
    </dxf>
    <dxf>
      <numFmt numFmtId="1" formatCode="0"/>
    </dxf>
    <dxf>
      <numFmt numFmtId="165" formatCode="[&gt;=1000000]\₦0.0,,&quot;M&quot;;[&gt;=1000]\$0.0&quot;K&quot;;0"/>
    </dxf>
    <dxf>
      <numFmt numFmtId="1" formatCode="0"/>
    </dxf>
    <dxf>
      <numFmt numFmtId="165" formatCode="[&gt;=1000000]\₦0.0,,&quot;M&quot;;[&gt;=1000]\$0.0&quot;K&quot;;0"/>
    </dxf>
    <dxf>
      <numFmt numFmtId="1" formatCode="0"/>
    </dxf>
    <dxf>
      <numFmt numFmtId="1" formatCode="0"/>
    </dxf>
    <dxf>
      <numFmt numFmtId="1" formatCode="0"/>
    </dxf>
    <dxf>
      <numFmt numFmtId="164" formatCode="[&gt;=1000000]\$0.0,,&quot;M&quot;;[&gt;=1000]\$0.0&quot;K&quot;\4;0"/>
    </dxf>
    <dxf>
      <numFmt numFmtId="164" formatCode="[&gt;=1000000]\$0.0,,&quot;M&quot;;[&gt;=1000]\$0.0&quot;K&quot;\4;0"/>
    </dxf>
    <dxf>
      <numFmt numFmtId="164" formatCode="[&gt;=1000000]\$0.0,,&quot;M&quot;;[&gt;=1000]\$0.0&quot;K&quot;\4;0"/>
    </dxf>
    <dxf>
      <numFmt numFmtId="165" formatCode="[&gt;=1000000]\₦0.0,,&quot;M&quot;;[&gt;=1000]\$0.0&quot;K&quot;;0"/>
    </dxf>
    <dxf>
      <numFmt numFmtId="1" formatCode="0"/>
    </dxf>
    <dxf>
      <numFmt numFmtId="1" formatCode="0"/>
    </dxf>
    <dxf>
      <numFmt numFmtId="165" formatCode="[&gt;=1000000]\₦0.0,,&quot;M&quot;;[&gt;=1000]\$0.0&quot;K&quot;;0"/>
    </dxf>
    <dxf>
      <numFmt numFmtId="165" formatCode="[&gt;=1000000]\₦0.0,,&quot;M&quot;;[&gt;=1000]\$0.0&quot;K&quot;;0"/>
    </dxf>
    <dxf>
      <numFmt numFmtId="1" formatCode="0"/>
    </dxf>
    <dxf>
      <numFmt numFmtId="165" formatCode="[&gt;=1000000]\₦0.0,,&quot;M&quot;;[&gt;=1000]\$0.0&quot;K&quot;;0"/>
    </dxf>
    <dxf>
      <numFmt numFmtId="1" formatCode="0"/>
    </dxf>
    <dxf>
      <numFmt numFmtId="165" formatCode="[&gt;=1000000]\₦0.0,,&quot;M&quot;;[&gt;=1000]\$0.0&quot;K&quot;;0"/>
    </dxf>
    <dxf>
      <numFmt numFmtId="1" formatCode="0"/>
    </dxf>
    <dxf>
      <numFmt numFmtId="1" formatCode="0"/>
    </dxf>
    <dxf>
      <numFmt numFmtId="1" formatCode="0"/>
    </dxf>
    <dxf>
      <numFmt numFmtId="164" formatCode="[&gt;=1000000]\$0.0,,&quot;M&quot;;[&gt;=1000]\$0.0&quot;K&quot;\4;0"/>
    </dxf>
    <dxf>
      <numFmt numFmtId="164" formatCode="[&gt;=1000000]\$0.0,,&quot;M&quot;;[&gt;=1000]\$0.0&quot;K&quot;\4;0"/>
    </dxf>
    <dxf>
      <numFmt numFmtId="164" formatCode="[&gt;=1000000]\$0.0,,&quot;M&quot;;[&gt;=1000]\$0.0&quot;K&quot;\4;0"/>
    </dxf>
    <dxf>
      <numFmt numFmtId="165" formatCode="[&gt;=1000000]\₦0.0,,&quot;M&quot;;[&gt;=1000]\$0.0&quot;K&quot;;0"/>
    </dxf>
    <dxf>
      <numFmt numFmtId="1" formatCode="0"/>
    </dxf>
    <dxf>
      <numFmt numFmtId="1" formatCode="0"/>
    </dxf>
    <dxf>
      <numFmt numFmtId="165" formatCode="[&gt;=1000000]\₦0.0,,&quot;M&quot;;[&gt;=1000]\$0.0&quot;K&quot;;0"/>
    </dxf>
    <dxf>
      <numFmt numFmtId="165" formatCode="[&gt;=1000000]\₦0.0,,&quot;M&quot;;[&gt;=1000]\$0.0&quot;K&quot;;0"/>
    </dxf>
    <dxf>
      <numFmt numFmtId="1" formatCode="0"/>
    </dxf>
    <dxf>
      <numFmt numFmtId="165" formatCode="[&gt;=1000000]\₦0.0,,&quot;M&quot;;[&gt;=1000]\$0.0&quot;K&quot;;0"/>
    </dxf>
    <dxf>
      <numFmt numFmtId="1" formatCode="0"/>
    </dxf>
    <dxf>
      <numFmt numFmtId="165" formatCode="[&gt;=1000000]\₦0.0,,&quot;M&quot;;[&gt;=1000]\$0.0&quot;K&quot;;0"/>
    </dxf>
    <dxf>
      <numFmt numFmtId="1" formatCode="0"/>
    </dxf>
    <dxf>
      <numFmt numFmtId="1" formatCode="0"/>
    </dxf>
    <dxf>
      <numFmt numFmtId="1" formatCode="0"/>
    </dxf>
    <dxf>
      <numFmt numFmtId="164" formatCode="[&gt;=1000000]\$0.0,,&quot;M&quot;;[&gt;=1000]\$0.0&quot;K&quot;\4;0"/>
    </dxf>
    <dxf>
      <numFmt numFmtId="164" formatCode="[&gt;=1000000]\$0.0,,&quot;M&quot;;[&gt;=1000]\$0.0&quot;K&quot;\4;0"/>
    </dxf>
    <dxf>
      <numFmt numFmtId="164" formatCode="[&gt;=1000000]\$0.0,,&quot;M&quot;;[&gt;=1000]\$0.0&quot;K&quot;\4;0"/>
    </dxf>
    <dxf>
      <numFmt numFmtId="165" formatCode="[&gt;=1000000]\₦0.0,,&quot;M&quot;;[&gt;=1000]\$0.0&quot;K&quot;;0"/>
    </dxf>
    <dxf>
      <numFmt numFmtId="1" formatCode="0"/>
    </dxf>
    <dxf>
      <numFmt numFmtId="1" formatCode="0"/>
    </dxf>
    <dxf>
      <numFmt numFmtId="165" formatCode="[&gt;=1000000]\₦0.0,,&quot;M&quot;;[&gt;=1000]\$0.0&quot;K&quot;;0"/>
    </dxf>
    <dxf>
      <numFmt numFmtId="165" formatCode="[&gt;=1000000]\₦0.0,,&quot;M&quot;;[&gt;=1000]\$0.0&quot;K&quot;;0"/>
    </dxf>
    <dxf>
      <numFmt numFmtId="1" formatCode="0"/>
    </dxf>
    <dxf>
      <numFmt numFmtId="165" formatCode="[&gt;=1000000]\₦0.0,,&quot;M&quot;;[&gt;=1000]\$0.0&quot;K&quot;;0"/>
    </dxf>
    <dxf>
      <numFmt numFmtId="1" formatCode="0"/>
    </dxf>
    <dxf>
      <numFmt numFmtId="165" formatCode="[&gt;=1000000]\₦0.0,,&quot;M&quot;;[&gt;=1000]\$0.0&quot;K&quot;;0"/>
    </dxf>
    <dxf>
      <numFmt numFmtId="1" formatCode="0"/>
    </dxf>
    <dxf>
      <numFmt numFmtId="1" formatCode="0"/>
    </dxf>
    <dxf>
      <numFmt numFmtId="1" formatCode="0"/>
    </dxf>
    <dxf>
      <numFmt numFmtId="164" formatCode="[&gt;=1000000]\$0.0,,&quot;M&quot;;[&gt;=1000]\$0.0&quot;K&quot;\4;0"/>
    </dxf>
    <dxf>
      <numFmt numFmtId="164" formatCode="[&gt;=1000000]\$0.0,,&quot;M&quot;;[&gt;=1000]\$0.0&quot;K&quot;\4;0"/>
    </dxf>
    <dxf>
      <numFmt numFmtId="164" formatCode="[&gt;=1000000]\$0.0,,&quot;M&quot;;[&gt;=1000]\$0.0&quot;K&quot;\4;0"/>
    </dxf>
    <dxf>
      <numFmt numFmtId="165" formatCode="[&gt;=1000000]\₦0.0,,&quot;M&quot;;[&gt;=1000]\$0.0&quot;K&quot;;0"/>
    </dxf>
    <dxf>
      <numFmt numFmtId="1" formatCode="0"/>
    </dxf>
    <dxf>
      <numFmt numFmtId="1" formatCode="0"/>
    </dxf>
    <dxf>
      <numFmt numFmtId="165" formatCode="[&gt;=1000000]\₦0.0,,&quot;M&quot;;[&gt;=1000]\$0.0&quot;K&quot;;0"/>
    </dxf>
    <dxf>
      <numFmt numFmtId="1" formatCode="0"/>
    </dxf>
    <dxf>
      <numFmt numFmtId="1" formatCode="0"/>
    </dxf>
    <dxf>
      <numFmt numFmtId="165" formatCode="[&gt;=1000000]\₦0.0,,&quot;M&quot;;[&gt;=1000]\$0.0&quot;K&quot;;0"/>
    </dxf>
    <dxf>
      <numFmt numFmtId="165" formatCode="[&gt;=1000000]\₦0.0,,&quot;M&quot;;[&gt;=1000]\$0.0&quot;K&quot;;0"/>
    </dxf>
    <dxf>
      <numFmt numFmtId="1" formatCode="0"/>
    </dxf>
    <dxf>
      <numFmt numFmtId="165" formatCode="[&gt;=1000000]\₦0.0,,&quot;M&quot;;[&gt;=1000]\$0.0&quot;K&quot;;0"/>
    </dxf>
    <dxf>
      <numFmt numFmtId="1" formatCode="0"/>
    </dxf>
    <dxf>
      <numFmt numFmtId="165" formatCode="[&gt;=1000000]\₦0.0,,&quot;M&quot;;[&gt;=1000]\$0.0&quot;K&quot;;0"/>
    </dxf>
    <dxf>
      <numFmt numFmtId="1" formatCode="0"/>
    </dxf>
    <dxf>
      <numFmt numFmtId="1" formatCode="0"/>
    </dxf>
    <dxf>
      <numFmt numFmtId="1" formatCode="0"/>
    </dxf>
    <dxf>
      <numFmt numFmtId="164" formatCode="[&gt;=1000000]\$0.0,,&quot;M&quot;;[&gt;=1000]\$0.0&quot;K&quot;\4;0"/>
    </dxf>
    <dxf>
      <numFmt numFmtId="164" formatCode="[&gt;=1000000]\$0.0,,&quot;M&quot;;[&gt;=1000]\$0.0&quot;K&quot;\4;0"/>
    </dxf>
    <dxf>
      <numFmt numFmtId="164" formatCode="[&gt;=1000000]\$0.0,,&quot;M&quot;;[&gt;=1000]\$0.0&quot;K&quot;\4;0"/>
    </dxf>
    <dxf>
      <numFmt numFmtId="165" formatCode="[&gt;=1000000]\₦0.0,,&quot;M&quot;;[&gt;=1000]\$0.0&quot;K&quot;;0"/>
    </dxf>
    <dxf>
      <numFmt numFmtId="1" formatCode="0"/>
    </dxf>
    <dxf>
      <numFmt numFmtId="1" formatCode="0"/>
    </dxf>
    <dxf>
      <numFmt numFmtId="165" formatCode="[&gt;=1000000]\₦0.0,,&quot;M&quot;;[&gt;=1000]\$0.0&quot;K&quot;;0"/>
    </dxf>
    <dxf>
      <numFmt numFmtId="1" formatCode="0"/>
    </dxf>
    <dxf>
      <numFmt numFmtId="1" formatCode="0"/>
    </dxf>
    <dxf>
      <numFmt numFmtId="165" formatCode="[&gt;=1000000]\₦0.0,,&quot;M&quot;;[&gt;=1000]\$0.0&quot;K&quot;;0"/>
    </dxf>
    <dxf>
      <numFmt numFmtId="1" formatCode="0"/>
    </dxf>
    <dxf>
      <numFmt numFmtId="1" formatCode="0"/>
    </dxf>
    <dxf>
      <numFmt numFmtId="165" formatCode="[&gt;=1000000]\₦0.0,,&quot;M&quot;;[&gt;=1000]\$0.0&quot;K&quot;;0"/>
    </dxf>
    <dxf>
      <numFmt numFmtId="1" formatCode="0"/>
    </dxf>
    <dxf>
      <numFmt numFmtId="1" formatCode="0"/>
    </dxf>
    <dxf>
      <font>
        <b/>
        <color theme="1"/>
      </font>
      <border>
        <bottom style="thin">
          <color theme="4"/>
        </bottom>
        <vertical/>
        <horizontal/>
      </border>
    </dxf>
    <dxf>
      <font>
        <color theme="1"/>
      </font>
      <fill>
        <patternFill>
          <fgColor theme="1"/>
          <bgColor theme="1"/>
        </patternFill>
      </fill>
      <border diagonalUp="0" diagonalDown="0">
        <left/>
        <right/>
        <top/>
        <bottom/>
        <vertical/>
        <horizontal/>
      </border>
    </dxf>
    <dxf>
      <numFmt numFmtId="165" formatCode="[&gt;=1000000]\₦0.0,,&quot;M&quot;;[&gt;=1000]\$0.0&quot;K&quot;;0"/>
    </dxf>
    <dxf>
      <numFmt numFmtId="1" formatCode="0"/>
    </dxf>
    <dxf>
      <numFmt numFmtId="1" formatCode="0"/>
    </dxf>
    <dxf>
      <numFmt numFmtId="1" formatCode="0"/>
    </dxf>
    <dxf>
      <numFmt numFmtId="1" formatCode="0"/>
    </dxf>
    <dxf>
      <numFmt numFmtId="1" formatCode="0"/>
    </dxf>
    <dxf>
      <numFmt numFmtId="165" formatCode="[&gt;=1000000]\₦0.0,,&quot;M&quot;;[&gt;=1000]\$0.0&quot;K&quot;;0"/>
    </dxf>
    <dxf>
      <numFmt numFmtId="164" formatCode="[&gt;=1000000]\$0.0,,&quot;M&quot;;[&gt;=1000]\$0.0&quot;K&quot;\4;0"/>
    </dxf>
    <dxf>
      <numFmt numFmtId="164" formatCode="[&gt;=1000000]\$0.0,,&quot;M&quot;;[&gt;=1000]\$0.0&quot;K&quot;\4;0"/>
    </dxf>
    <dxf>
      <numFmt numFmtId="164" formatCode="[&gt;=1000000]\$0.0,,&quot;M&quot;;[&gt;=1000]\$0.0&quot;K&quot;\4;0"/>
    </dxf>
    <dxf>
      <numFmt numFmtId="1" formatCode="0"/>
    </dxf>
    <dxf>
      <numFmt numFmtId="165" formatCode="[&gt;=1000000]\₦0.0,,&quot;M&quot;;[&gt;=1000]\$0.0&quot;K&quot;;0"/>
    </dxf>
    <dxf>
      <numFmt numFmtId="165" formatCode="[&gt;=1000000]\₦0.0,,&quot;M&quot;;[&gt;=1000]\$0.0&quot;K&quot;;0"/>
    </dxf>
    <dxf>
      <numFmt numFmtId="1" formatCode="0"/>
    </dxf>
    <dxf>
      <numFmt numFmtId="1" formatCode="0"/>
    </dxf>
    <dxf>
      <numFmt numFmtId="165" formatCode="[&gt;=1000000]\₦0.0,,&quot;M&quot;;[&gt;=1000]\$0.0&quot;K&quot;;0"/>
    </dxf>
    <dxf>
      <numFmt numFmtId="1" formatCode="0"/>
    </dxf>
    <dxf>
      <numFmt numFmtId="165" formatCode="[&gt;=1000000]\₦0.0,,&quot;M&quot;;[&gt;=1000]\$0.0&quot;K&quot;;0"/>
    </dxf>
    <dxf>
      <numFmt numFmtId="0" formatCode="General"/>
    </dxf>
    <dxf>
      <numFmt numFmtId="0" formatCode="General"/>
    </dxf>
    <dxf>
      <numFmt numFmtId="0" formatCode="General"/>
    </dxf>
    <dxf>
      <numFmt numFmtId="0" formatCode="General"/>
    </dxf>
    <dxf>
      <numFmt numFmtId="19" formatCode="dd/mm/yyyy"/>
    </dxf>
  </dxfs>
  <tableStyles count="1" defaultTableStyle="TableStyleMedium2" defaultPivotStyle="PivotStyleLight16">
    <tableStyle name="SlicerStyleLight1 2" pivot="0" table="0" count="10" xr9:uid="{DFC3CBCE-633C-40CE-AEF7-187B66BC5103}">
      <tableStyleElement type="wholeTable" dxfId="133"/>
      <tableStyleElement type="headerRow" dxfId="132"/>
    </tableStyle>
  </tableStyles>
  <colors>
    <mruColors>
      <color rgb="FF80808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rgb="FF0061E6"/>
              <bgColor rgb="FF0061E6"/>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font>
          <fill>
            <patternFill patternType="solid">
              <fgColor rgb="FFADB8D4"/>
              <bgColor rgb="FFADB8D4"/>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ANALYSIS!$J$14:$J$18</c:f>
              <c:strCache>
                <c:ptCount val="5"/>
                <c:pt idx="0">
                  <c:v>Africa</c:v>
                </c:pt>
                <c:pt idx="1">
                  <c:v>Asia</c:v>
                </c:pt>
                <c:pt idx="2">
                  <c:v>Europe</c:v>
                </c:pt>
                <c:pt idx="3">
                  <c:v>North America</c:v>
                </c:pt>
                <c:pt idx="4">
                  <c:v>South America</c:v>
                </c:pt>
              </c:strCache>
            </c:strRef>
          </c:cat>
          <c:val>
            <c:numRef>
              <c:f>ANALYSIS!$K$14:$K$18</c:f>
              <c:numCache>
                <c:formatCode>0</c:formatCode>
                <c:ptCount val="5"/>
                <c:pt idx="0">
                  <c:v>51231</c:v>
                </c:pt>
                <c:pt idx="1">
                  <c:v>46669</c:v>
                </c:pt>
                <c:pt idx="2">
                  <c:v>60552</c:v>
                </c:pt>
                <c:pt idx="3">
                  <c:v>44298</c:v>
                </c:pt>
                <c:pt idx="4">
                  <c:v>46397</c:v>
                </c:pt>
              </c:numCache>
            </c:numRef>
          </c:val>
          <c:extLst>
            <c:ext xmlns:c16="http://schemas.microsoft.com/office/drawing/2014/chart" uri="{C3380CC4-5D6E-409C-BE32-E72D297353CC}">
              <c16:uniqueId val="{00000000-93E1-43A0-9BB4-D2460D028B8C}"/>
            </c:ext>
          </c:extLst>
        </c:ser>
        <c:dLbls>
          <c:dLblPos val="outEnd"/>
          <c:showLegendKey val="0"/>
          <c:showVal val="1"/>
          <c:showCatName val="0"/>
          <c:showSerName val="0"/>
          <c:showPercent val="0"/>
          <c:showBubbleSize val="0"/>
        </c:dLbls>
        <c:gapWidth val="182"/>
        <c:axId val="452045928"/>
        <c:axId val="452042328"/>
      </c:barChart>
      <c:catAx>
        <c:axId val="452045928"/>
        <c:scaling>
          <c:orientation val="minMax"/>
        </c:scaling>
        <c:delete val="0"/>
        <c:axPos val="l"/>
        <c:numFmt formatCode="General" sourceLinked="1"/>
        <c:majorTickMark val="out"/>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52042328"/>
        <c:crosses val="autoZero"/>
        <c:auto val="1"/>
        <c:lblAlgn val="ctr"/>
        <c:lblOffset val="100"/>
        <c:noMultiLvlLbl val="0"/>
      </c:catAx>
      <c:valAx>
        <c:axId val="452042328"/>
        <c:scaling>
          <c:orientation val="minMax"/>
        </c:scaling>
        <c:delete val="1"/>
        <c:axPos val="b"/>
        <c:majorGridlines>
          <c:spPr>
            <a:ln w="9525" cap="flat" cmpd="sng" algn="ctr">
              <a:noFill/>
              <a:round/>
            </a:ln>
            <a:effectLst/>
          </c:spPr>
        </c:majorGridlines>
        <c:numFmt formatCode="0" sourceLinked="1"/>
        <c:majorTickMark val="out"/>
        <c:minorTickMark val="none"/>
        <c:tickLblPos val="nextTo"/>
        <c:crossAx val="45204592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[Gaming dashboard.xlsx]ANALYSIS!PivotTable13</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ANALYSIS!$I$13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ANALYSIS!$H$14:$H$19</c:f>
              <c:strCache>
                <c:ptCount val="5"/>
                <c:pt idx="0">
                  <c:v>Africa</c:v>
                </c:pt>
                <c:pt idx="1">
                  <c:v>Asia</c:v>
                </c:pt>
                <c:pt idx="2">
                  <c:v>Europe</c:v>
                </c:pt>
                <c:pt idx="3">
                  <c:v>North America</c:v>
                </c:pt>
                <c:pt idx="4">
                  <c:v>South America</c:v>
                </c:pt>
              </c:strCache>
            </c:strRef>
          </c:cat>
          <c:val>
            <c:numRef>
              <c:f>ANALYSIS!$I$14:$I$19</c:f>
              <c:numCache>
                <c:formatCode>0</c:formatCode>
                <c:ptCount val="5"/>
                <c:pt idx="0">
                  <c:v>22154</c:v>
                </c:pt>
                <c:pt idx="1">
                  <c:v>16876</c:v>
                </c:pt>
                <c:pt idx="2">
                  <c:v>21229</c:v>
                </c:pt>
                <c:pt idx="3">
                  <c:v>12611</c:v>
                </c:pt>
                <c:pt idx="4">
                  <c:v>12023</c:v>
                </c:pt>
              </c:numCache>
            </c:numRef>
          </c:val>
          <c:extLst>
            <c:ext xmlns:c16="http://schemas.microsoft.com/office/drawing/2014/chart" uri="{C3380CC4-5D6E-409C-BE32-E72D297353CC}">
              <c16:uniqueId val="{00000000-B7D8-41D8-B3B8-CAB32E88C732}"/>
            </c:ext>
          </c:extLst>
        </c:ser>
        <c:dLbls>
          <c:dLblPos val="outEnd"/>
          <c:showLegendKey val="0"/>
          <c:showVal val="1"/>
          <c:showCatName val="0"/>
          <c:showSerName val="0"/>
          <c:showPercent val="0"/>
          <c:showBubbleSize val="0"/>
        </c:dLbls>
        <c:gapWidth val="182"/>
        <c:axId val="529441808"/>
        <c:axId val="529442168"/>
      </c:barChart>
      <c:catAx>
        <c:axId val="529441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529442168"/>
        <c:crosses val="autoZero"/>
        <c:auto val="1"/>
        <c:lblAlgn val="ctr"/>
        <c:lblOffset val="100"/>
        <c:noMultiLvlLbl val="0"/>
      </c:catAx>
      <c:valAx>
        <c:axId val="529442168"/>
        <c:scaling>
          <c:orientation val="minMax"/>
        </c:scaling>
        <c:delete val="1"/>
        <c:axPos val="b"/>
        <c:numFmt formatCode="0" sourceLinked="1"/>
        <c:majorTickMark val="none"/>
        <c:minorTickMark val="none"/>
        <c:tickLblPos val="nextTo"/>
        <c:crossAx val="529441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[Gaming dashboard.xlsx]ANALYSIS!PivotTable14</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bg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chemeClr val="tx1">
                <a:alpha val="0"/>
              </a:schemeClr>
            </a:solid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00B0F0"/>
          </a:solidFill>
          <a:ln w="19050">
            <a:solidFill>
              <a:schemeClr val="lt1"/>
            </a:solidFill>
          </a:ln>
          <a:effectLst/>
        </c:spPr>
        <c:dLbl>
          <c:idx val="0"/>
          <c:layout>
            <c:manualLayout>
              <c:x val="0.10224482402350808"/>
              <c:y val="0.13992585679473213"/>
            </c:manualLayout>
          </c:layout>
          <c:spPr>
            <a:solidFill>
              <a:schemeClr val="tx1">
                <a:alpha val="0"/>
              </a:schemeClr>
            </a:solid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bg1"/>
          </a:solidFill>
          <a:ln w="19050">
            <a:solidFill>
              <a:schemeClr val="lt1"/>
            </a:solidFill>
          </a:ln>
          <a:effectLst/>
        </c:spPr>
        <c:dLbl>
          <c:idx val="0"/>
          <c:layout>
            <c:manualLayout>
              <c:x val="-0.10711362516748485"/>
              <c:y val="-0.26338984808420179"/>
            </c:manualLayout>
          </c:layout>
          <c:spPr>
            <a:solidFill>
              <a:schemeClr val="tx1">
                <a:alpha val="0"/>
              </a:schemeClr>
            </a:solid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34830331250717705"/>
          <c:y val="0.10951666255982916"/>
          <c:w val="0.46612875188538383"/>
          <c:h val="0.81466359851120607"/>
        </c:manualLayout>
      </c:layout>
      <c:doughnutChart>
        <c:varyColors val="1"/>
        <c:ser>
          <c:idx val="0"/>
          <c:order val="0"/>
          <c:tx>
            <c:strRef>
              <c:f>ANALYSIS!$F$23</c:f>
              <c:strCache>
                <c:ptCount val="1"/>
                <c:pt idx="0">
                  <c:v>Total</c:v>
                </c:pt>
              </c:strCache>
            </c:strRef>
          </c:tx>
          <c:dPt>
            <c:idx val="0"/>
            <c:bubble3D val="0"/>
            <c:explosion val="1"/>
            <c:spPr>
              <a:solidFill>
                <a:srgbClr val="00B0F0"/>
              </a:solidFill>
              <a:ln w="19050">
                <a:solidFill>
                  <a:schemeClr val="lt1"/>
                </a:solidFill>
              </a:ln>
              <a:effectLst/>
            </c:spPr>
            <c:extLst>
              <c:ext xmlns:c16="http://schemas.microsoft.com/office/drawing/2014/chart" uri="{C3380CC4-5D6E-409C-BE32-E72D297353CC}">
                <c16:uniqueId val="{00000001-1A4C-46A8-AB10-9DF1AB3D1301}"/>
              </c:ext>
            </c:extLst>
          </c:dPt>
          <c:dPt>
            <c:idx val="1"/>
            <c:bubble3D val="0"/>
            <c:spPr>
              <a:solidFill>
                <a:schemeClr val="bg1"/>
              </a:solidFill>
              <a:ln w="19050">
                <a:solidFill>
                  <a:schemeClr val="lt1"/>
                </a:solidFill>
              </a:ln>
              <a:effectLst/>
            </c:spPr>
            <c:extLst>
              <c:ext xmlns:c16="http://schemas.microsoft.com/office/drawing/2014/chart" uri="{C3380CC4-5D6E-409C-BE32-E72D297353CC}">
                <c16:uniqueId val="{00000003-1A4C-46A8-AB10-9DF1AB3D1301}"/>
              </c:ext>
            </c:extLst>
          </c:dPt>
          <c:dLbls>
            <c:dLbl>
              <c:idx val="0"/>
              <c:layout>
                <c:manualLayout>
                  <c:x val="0.10224482402350808"/>
                  <c:y val="0.1399258567947321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A4C-46A8-AB10-9DF1AB3D1301}"/>
                </c:ext>
              </c:extLst>
            </c:dLbl>
            <c:dLbl>
              <c:idx val="1"/>
              <c:layout>
                <c:manualLayout>
                  <c:x val="-0.10711362516748485"/>
                  <c:y val="-0.26338984808420179"/>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A4C-46A8-AB10-9DF1AB3D1301}"/>
                </c:ext>
              </c:extLst>
            </c:dLbl>
            <c:spPr>
              <a:solidFill>
                <a:schemeClr val="tx1">
                  <a:alpha val="0"/>
                </a:schemeClr>
              </a:solid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ANALYSIS!$E$24:$E$26</c:f>
              <c:strCache>
                <c:ptCount val="2"/>
                <c:pt idx="0">
                  <c:v>Online</c:v>
                </c:pt>
                <c:pt idx="1">
                  <c:v>Retail</c:v>
                </c:pt>
              </c:strCache>
            </c:strRef>
          </c:cat>
          <c:val>
            <c:numRef>
              <c:f>ANALYSIS!$F$24:$F$26</c:f>
              <c:numCache>
                <c:formatCode>[&gt;=1000000]\₦0.0,,"M";[&gt;=1000]\$0.0"K";0</c:formatCode>
                <c:ptCount val="2"/>
                <c:pt idx="0">
                  <c:v>16</c:v>
                </c:pt>
                <c:pt idx="1">
                  <c:v>18</c:v>
                </c:pt>
              </c:numCache>
            </c:numRef>
          </c:val>
          <c:extLst>
            <c:ext xmlns:c16="http://schemas.microsoft.com/office/drawing/2014/chart" uri="{C3380CC4-5D6E-409C-BE32-E72D297353CC}">
              <c16:uniqueId val="{00000004-1A4C-46A8-AB10-9DF1AB3D1301}"/>
            </c:ext>
          </c:extLst>
        </c:ser>
        <c:dLbls>
          <c:showLegendKey val="0"/>
          <c:showVal val="1"/>
          <c:showCatName val="0"/>
          <c:showSerName val="0"/>
          <c:showPercent val="0"/>
          <c:showBubbleSize val="0"/>
          <c:showLeaderLines val="1"/>
        </c:dLbls>
        <c:firstSliceAng val="0"/>
        <c:holeSize val="86"/>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[Gaming dashboard.xlsx]ANALYSIS!PivotTable12</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7.2222222222222215E-2"/>
              <c:y val="-0.106481481481481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dLbl>
          <c:idx val="0"/>
          <c:layout>
            <c:manualLayout>
              <c:x val="-4.4444444444444467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4.4444444444444467E-2"/>
              <c:y val="8.79629629629627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layout>
            <c:manualLayout>
              <c:x val="0.1"/>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7.2222222222222215E-2"/>
              <c:y val="-0.106481481481481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4.4444444444444467E-2"/>
              <c:y val="8.79629629629627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4.4444444444444467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7.2222222222222215E-2"/>
              <c:y val="-0.10648148148148144"/>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4.4444444444444467E-2"/>
              <c:y val="8.796296296296279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4.4444444444444467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ANALYSIS!$F$13</c:f>
              <c:strCache>
                <c:ptCount val="1"/>
                <c:pt idx="0">
                  <c:v>Total</c:v>
                </c:pt>
              </c:strCache>
            </c:strRef>
          </c:tx>
          <c:explosion val="19"/>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739-4C21-AEEE-2EEA0F28568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739-4C21-AEEE-2EEA0F28568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739-4C21-AEEE-2EEA0F28568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739-4C21-AEEE-2EEA0F28568A}"/>
              </c:ext>
            </c:extLst>
          </c:dPt>
          <c:dLbls>
            <c:dLbl>
              <c:idx val="0"/>
              <c:layout>
                <c:manualLayout>
                  <c:x val="7.2222222222222215E-2"/>
                  <c:y val="-0.1064814814814814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739-4C21-AEEE-2EEA0F28568A}"/>
                </c:ext>
              </c:extLst>
            </c:dLbl>
            <c:dLbl>
              <c:idx val="1"/>
              <c:layout>
                <c:manualLayout>
                  <c:x val="0.1"/>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739-4C21-AEEE-2EEA0F28568A}"/>
                </c:ext>
              </c:extLst>
            </c:dLbl>
            <c:dLbl>
              <c:idx val="2"/>
              <c:layout>
                <c:manualLayout>
                  <c:x val="-4.4444444444444467E-2"/>
                  <c:y val="8.79629629629627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739-4C21-AEEE-2EEA0F28568A}"/>
                </c:ext>
              </c:extLst>
            </c:dLbl>
            <c:dLbl>
              <c:idx val="3"/>
              <c:layout>
                <c:manualLayout>
                  <c:x val="-4.4444444444444467E-2"/>
                  <c:y val="-7.4074074074074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739-4C21-AEEE-2EEA0F28568A}"/>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ANALYSIS!$E$14:$E$18</c:f>
              <c:strCache>
                <c:ptCount val="4"/>
                <c:pt idx="0">
                  <c:v>Adult</c:v>
                </c:pt>
                <c:pt idx="1">
                  <c:v>Casual Gamer</c:v>
                </c:pt>
                <c:pt idx="2">
                  <c:v>Hardcore Gamer</c:v>
                </c:pt>
                <c:pt idx="3">
                  <c:v>Teen</c:v>
                </c:pt>
              </c:strCache>
            </c:strRef>
          </c:cat>
          <c:val>
            <c:numRef>
              <c:f>ANALYSIS!$F$14:$F$18</c:f>
              <c:numCache>
                <c:formatCode>[&gt;=1000000]\₦0.0,,"M";[&gt;=1000]\$0.0"K";0</c:formatCode>
                <c:ptCount val="4"/>
                <c:pt idx="0">
                  <c:v>14</c:v>
                </c:pt>
                <c:pt idx="1">
                  <c:v>8</c:v>
                </c:pt>
                <c:pt idx="2">
                  <c:v>3</c:v>
                </c:pt>
                <c:pt idx="3">
                  <c:v>9</c:v>
                </c:pt>
              </c:numCache>
            </c:numRef>
          </c:val>
          <c:extLst>
            <c:ext xmlns:c16="http://schemas.microsoft.com/office/drawing/2014/chart" uri="{C3380CC4-5D6E-409C-BE32-E72D297353CC}">
              <c16:uniqueId val="{00000008-A739-4C21-AEEE-2EEA0F28568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[Gaming dashboard.xlsx]ANALYSIS!PivotTable11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ANALYSIS!$B$15:$B$26</c:f>
              <c:strCache>
                <c:ptCount val="11"/>
                <c:pt idx="0">
                  <c:v>Jan</c:v>
                </c:pt>
                <c:pt idx="1">
                  <c:v>Feb</c:v>
                </c:pt>
                <c:pt idx="2">
                  <c:v>Mar</c:v>
                </c:pt>
                <c:pt idx="3">
                  <c:v>Apr</c:v>
                </c:pt>
                <c:pt idx="4">
                  <c:v>May</c:v>
                </c:pt>
                <c:pt idx="5">
                  <c:v>Jul</c:v>
                </c:pt>
                <c:pt idx="6">
                  <c:v>Aug</c:v>
                </c:pt>
                <c:pt idx="7">
                  <c:v>Sep</c:v>
                </c:pt>
                <c:pt idx="8">
                  <c:v>Oct</c:v>
                </c:pt>
                <c:pt idx="9">
                  <c:v>Nov</c:v>
                </c:pt>
                <c:pt idx="10">
                  <c:v>Dec</c:v>
                </c:pt>
              </c:strCache>
            </c:strRef>
          </c:cat>
          <c:val>
            <c:numRef>
              <c:f>ANALYSIS!$C$15:$C$26</c:f>
              <c:numCache>
                <c:formatCode>0</c:formatCode>
                <c:ptCount val="11"/>
                <c:pt idx="0">
                  <c:v>1756</c:v>
                </c:pt>
                <c:pt idx="1">
                  <c:v>10548</c:v>
                </c:pt>
                <c:pt idx="2">
                  <c:v>5880</c:v>
                </c:pt>
                <c:pt idx="3">
                  <c:v>10986</c:v>
                </c:pt>
                <c:pt idx="4">
                  <c:v>6290</c:v>
                </c:pt>
                <c:pt idx="5">
                  <c:v>10212</c:v>
                </c:pt>
                <c:pt idx="6">
                  <c:v>14703</c:v>
                </c:pt>
                <c:pt idx="7">
                  <c:v>3898</c:v>
                </c:pt>
                <c:pt idx="8">
                  <c:v>479</c:v>
                </c:pt>
                <c:pt idx="9">
                  <c:v>12488</c:v>
                </c:pt>
                <c:pt idx="10">
                  <c:v>7653</c:v>
                </c:pt>
              </c:numCache>
            </c:numRef>
          </c:val>
          <c:extLst>
            <c:ext xmlns:c16="http://schemas.microsoft.com/office/drawing/2014/chart" uri="{C3380CC4-5D6E-409C-BE32-E72D297353CC}">
              <c16:uniqueId val="{00000000-DB54-436E-BF04-3784E1735A96}"/>
            </c:ext>
          </c:extLst>
        </c:ser>
        <c:dLbls>
          <c:dLblPos val="outEnd"/>
          <c:showLegendKey val="0"/>
          <c:showVal val="1"/>
          <c:showCatName val="0"/>
          <c:showSerName val="0"/>
          <c:showPercent val="0"/>
          <c:showBubbleSize val="0"/>
        </c:dLbls>
        <c:gapWidth val="219"/>
        <c:overlap val="-27"/>
        <c:axId val="525630408"/>
        <c:axId val="525630768"/>
      </c:barChart>
      <c:catAx>
        <c:axId val="525630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630768"/>
        <c:crosses val="autoZero"/>
        <c:auto val="1"/>
        <c:lblAlgn val="ctr"/>
        <c:lblOffset val="100"/>
        <c:noMultiLvlLbl val="0"/>
      </c:catAx>
      <c:valAx>
        <c:axId val="525630768"/>
        <c:scaling>
          <c:orientation val="minMax"/>
        </c:scaling>
        <c:delete val="1"/>
        <c:axPos val="l"/>
        <c:majorGridlines>
          <c:spPr>
            <a:ln w="9525" cap="flat" cmpd="sng" algn="ctr">
              <a:noFill/>
              <a:round/>
            </a:ln>
            <a:effectLst/>
          </c:spPr>
        </c:majorGridlines>
        <c:numFmt formatCode="0" sourceLinked="1"/>
        <c:majorTickMark val="none"/>
        <c:minorTickMark val="none"/>
        <c:tickLblPos val="nextTo"/>
        <c:crossAx val="525630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[Gaming dashboard.xlsx]ANALYSIS!PivotTable13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ANALYSIS!$I$13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ANALYSIS!$H$14:$H$19</c:f>
              <c:strCache>
                <c:ptCount val="5"/>
                <c:pt idx="0">
                  <c:v>Africa</c:v>
                </c:pt>
                <c:pt idx="1">
                  <c:v>Asia</c:v>
                </c:pt>
                <c:pt idx="2">
                  <c:v>Europe</c:v>
                </c:pt>
                <c:pt idx="3">
                  <c:v>North America</c:v>
                </c:pt>
                <c:pt idx="4">
                  <c:v>South America</c:v>
                </c:pt>
              </c:strCache>
            </c:strRef>
          </c:cat>
          <c:val>
            <c:numRef>
              <c:f>ANALYSIS!$I$14:$I$19</c:f>
              <c:numCache>
                <c:formatCode>0</c:formatCode>
                <c:ptCount val="5"/>
                <c:pt idx="0">
                  <c:v>22154</c:v>
                </c:pt>
                <c:pt idx="1">
                  <c:v>16876</c:v>
                </c:pt>
                <c:pt idx="2">
                  <c:v>21229</c:v>
                </c:pt>
                <c:pt idx="3">
                  <c:v>12611</c:v>
                </c:pt>
                <c:pt idx="4">
                  <c:v>12023</c:v>
                </c:pt>
              </c:numCache>
            </c:numRef>
          </c:val>
          <c:extLst>
            <c:ext xmlns:c16="http://schemas.microsoft.com/office/drawing/2014/chart" uri="{C3380CC4-5D6E-409C-BE32-E72D297353CC}">
              <c16:uniqueId val="{00000000-FDCC-41E3-B927-3157CD7DFA8E}"/>
            </c:ext>
          </c:extLst>
        </c:ser>
        <c:dLbls>
          <c:dLblPos val="outEnd"/>
          <c:showLegendKey val="0"/>
          <c:showVal val="1"/>
          <c:showCatName val="0"/>
          <c:showSerName val="0"/>
          <c:showPercent val="0"/>
          <c:showBubbleSize val="0"/>
        </c:dLbls>
        <c:gapWidth val="182"/>
        <c:axId val="529441808"/>
        <c:axId val="529442168"/>
      </c:barChart>
      <c:catAx>
        <c:axId val="529441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529442168"/>
        <c:crosses val="autoZero"/>
        <c:auto val="1"/>
        <c:lblAlgn val="ctr"/>
        <c:lblOffset val="100"/>
        <c:noMultiLvlLbl val="0"/>
      </c:catAx>
      <c:valAx>
        <c:axId val="529442168"/>
        <c:scaling>
          <c:orientation val="minMax"/>
        </c:scaling>
        <c:delete val="1"/>
        <c:axPos val="b"/>
        <c:numFmt formatCode="0" sourceLinked="1"/>
        <c:majorTickMark val="none"/>
        <c:minorTickMark val="none"/>
        <c:tickLblPos val="nextTo"/>
        <c:crossAx val="529441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3.xml"/><Relationship Id="rId13" Type="http://schemas.openxmlformats.org/officeDocument/2006/relationships/hyperlink" Target="#DASHBOARD!A1"/><Relationship Id="rId18" Type="http://schemas.microsoft.com/office/2007/relationships/hdphoto" Target="../media/hdphoto4.wdp"/><Relationship Id="rId3" Type="http://schemas.openxmlformats.org/officeDocument/2006/relationships/image" Target="../media/image2.png"/><Relationship Id="rId21" Type="http://schemas.openxmlformats.org/officeDocument/2006/relationships/hyperlink" Target="#ANALYSIS!A1"/><Relationship Id="rId7" Type="http://schemas.microsoft.com/office/2007/relationships/hdphoto" Target="../media/hdphoto2.wdp"/><Relationship Id="rId12" Type="http://schemas.openxmlformats.org/officeDocument/2006/relationships/chart" Target="../charts/chart6.xml"/><Relationship Id="rId17" Type="http://schemas.openxmlformats.org/officeDocument/2006/relationships/image" Target="../media/image8.png"/><Relationship Id="rId2" Type="http://schemas.microsoft.com/office/2007/relationships/hdphoto" Target="../media/hdphoto1.wdp"/><Relationship Id="rId16" Type="http://schemas.openxmlformats.org/officeDocument/2006/relationships/hyperlink" Target="#DATASET!A1"/><Relationship Id="rId20" Type="http://schemas.microsoft.com/office/2007/relationships/hdphoto" Target="../media/hdphoto5.wdp"/><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image" Target="../media/image6.png"/><Relationship Id="rId5" Type="http://schemas.openxmlformats.org/officeDocument/2006/relationships/image" Target="../media/image4.png"/><Relationship Id="rId15" Type="http://schemas.microsoft.com/office/2007/relationships/hdphoto" Target="../media/hdphoto3.wdp"/><Relationship Id="rId23" Type="http://schemas.microsoft.com/office/2007/relationships/hdphoto" Target="../media/hdphoto6.wdp"/><Relationship Id="rId10" Type="http://schemas.openxmlformats.org/officeDocument/2006/relationships/chart" Target="../charts/chart5.xml"/><Relationship Id="rId19" Type="http://schemas.openxmlformats.org/officeDocument/2006/relationships/image" Target="../media/image9.png"/><Relationship Id="rId4" Type="http://schemas.openxmlformats.org/officeDocument/2006/relationships/image" Target="../media/image3.png"/><Relationship Id="rId9" Type="http://schemas.openxmlformats.org/officeDocument/2006/relationships/chart" Target="../charts/chart4.xml"/><Relationship Id="rId14" Type="http://schemas.openxmlformats.org/officeDocument/2006/relationships/image" Target="../media/image7.png"/><Relationship Id="rId22"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10</xdr:col>
      <xdr:colOff>599016</xdr:colOff>
      <xdr:row>5</xdr:row>
      <xdr:rowOff>171451</xdr:rowOff>
    </xdr:from>
    <xdr:to>
      <xdr:col>16</xdr:col>
      <xdr:colOff>42332</xdr:colOff>
      <xdr:row>8</xdr:row>
      <xdr:rowOff>77611</xdr:rowOff>
    </xdr:to>
    <mc:AlternateContent xmlns:mc="http://schemas.openxmlformats.org/markup-compatibility/2006">
      <mc:Choice xmlns:a14="http://schemas.microsoft.com/office/drawing/2010/main" Requires="a14">
        <xdr:graphicFrame macro="">
          <xdr:nvGraphicFramePr>
            <xdr:cNvPr id="6" name="Console Brand">
              <a:extLst>
                <a:ext uri="{FF2B5EF4-FFF2-40B4-BE49-F238E27FC236}">
                  <a16:creationId xmlns:a16="http://schemas.microsoft.com/office/drawing/2014/main" id="{BE4361A9-2620-0C67-20EF-B69369DE62CB}"/>
                </a:ext>
              </a:extLst>
            </xdr:cNvPr>
            <xdr:cNvGraphicFramePr/>
          </xdr:nvGraphicFramePr>
          <xdr:xfrm>
            <a:off x="0" y="0"/>
            <a:ext cx="0" cy="0"/>
          </xdr:xfrm>
          <a:graphic>
            <a:graphicData uri="http://schemas.microsoft.com/office/drawing/2010/slicer">
              <sle:slicer xmlns:sle="http://schemas.microsoft.com/office/drawing/2010/slicer" name="Console Brand"/>
            </a:graphicData>
          </a:graphic>
        </xdr:graphicFrame>
      </mc:Choice>
      <mc:Fallback>
        <xdr:sp macro="" textlink="">
          <xdr:nvSpPr>
            <xdr:cNvPr id="0" name=""/>
            <xdr:cNvSpPr>
              <a:spLocks noTextEdit="1"/>
            </xdr:cNvSpPr>
          </xdr:nvSpPr>
          <xdr:spPr>
            <a:xfrm>
              <a:off x="11803238" y="1123951"/>
              <a:ext cx="3083983" cy="477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0</xdr:colOff>
      <xdr:row>13</xdr:row>
      <xdr:rowOff>0</xdr:rowOff>
    </xdr:from>
    <xdr:to>
      <xdr:col>20</xdr:col>
      <xdr:colOff>197487</xdr:colOff>
      <xdr:row>23</xdr:row>
      <xdr:rowOff>88264</xdr:rowOff>
    </xdr:to>
    <xdr:graphicFrame macro="">
      <xdr:nvGraphicFramePr>
        <xdr:cNvPr id="9" name="Chart 8">
          <a:extLst>
            <a:ext uri="{FF2B5EF4-FFF2-40B4-BE49-F238E27FC236}">
              <a16:creationId xmlns:a16="http://schemas.microsoft.com/office/drawing/2014/main" id="{2746061D-C653-429F-82EE-23D14CE6F3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225778</xdr:colOff>
      <xdr:row>10</xdr:row>
      <xdr:rowOff>21872</xdr:rowOff>
    </xdr:from>
    <xdr:to>
      <xdr:col>12</xdr:col>
      <xdr:colOff>423333</xdr:colOff>
      <xdr:row>24</xdr:row>
      <xdr:rowOff>98072</xdr:rowOff>
    </xdr:to>
    <xdr:graphicFrame macro="">
      <xdr:nvGraphicFramePr>
        <xdr:cNvPr id="10" name="Chart 9">
          <a:extLst>
            <a:ext uri="{FF2B5EF4-FFF2-40B4-BE49-F238E27FC236}">
              <a16:creationId xmlns:a16="http://schemas.microsoft.com/office/drawing/2014/main" id="{DF356FF9-184F-7905-660F-ABC6BD3474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17477</xdr:colOff>
      <xdr:row>2</xdr:row>
      <xdr:rowOff>148555</xdr:rowOff>
    </xdr:from>
    <xdr:to>
      <xdr:col>20</xdr:col>
      <xdr:colOff>281415</xdr:colOff>
      <xdr:row>33</xdr:row>
      <xdr:rowOff>121219</xdr:rowOff>
    </xdr:to>
    <xdr:sp macro="" textlink="">
      <xdr:nvSpPr>
        <xdr:cNvPr id="2" name="Rectangle: Rounded Corners 1">
          <a:extLst>
            <a:ext uri="{FF2B5EF4-FFF2-40B4-BE49-F238E27FC236}">
              <a16:creationId xmlns:a16="http://schemas.microsoft.com/office/drawing/2014/main" id="{75814C5B-2A1A-49E0-8E28-54991EF04405}"/>
            </a:ext>
          </a:extLst>
        </xdr:cNvPr>
        <xdr:cNvSpPr/>
      </xdr:nvSpPr>
      <xdr:spPr>
        <a:xfrm>
          <a:off x="1861025" y="517265"/>
          <a:ext cx="10710713" cy="5687664"/>
        </a:xfrm>
        <a:prstGeom prst="roundRect">
          <a:avLst>
            <a:gd name="adj" fmla="val 2629"/>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rgbClr val="888894"/>
            </a:solidFill>
          </a:endParaRPr>
        </a:p>
      </xdr:txBody>
    </xdr:sp>
    <xdr:clientData/>
  </xdr:twoCellAnchor>
  <xdr:twoCellAnchor>
    <xdr:from>
      <xdr:col>3</xdr:col>
      <xdr:colOff>238124</xdr:colOff>
      <xdr:row>3</xdr:row>
      <xdr:rowOff>126066</xdr:rowOff>
    </xdr:from>
    <xdr:to>
      <xdr:col>11</xdr:col>
      <xdr:colOff>323654</xdr:colOff>
      <xdr:row>5</xdr:row>
      <xdr:rowOff>37121</xdr:rowOff>
    </xdr:to>
    <xdr:sp macro="" textlink="">
      <xdr:nvSpPr>
        <xdr:cNvPr id="3" name="TextBox 2">
          <a:extLst>
            <a:ext uri="{FF2B5EF4-FFF2-40B4-BE49-F238E27FC236}">
              <a16:creationId xmlns:a16="http://schemas.microsoft.com/office/drawing/2014/main" id="{AAF9C576-55EC-425E-A69D-B8FFCE9EB4A0}"/>
            </a:ext>
          </a:extLst>
        </xdr:cNvPr>
        <xdr:cNvSpPr txBox="1"/>
      </xdr:nvSpPr>
      <xdr:spPr>
        <a:xfrm>
          <a:off x="2087095" y="714375"/>
          <a:ext cx="5016118" cy="3032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b="1">
              <a:solidFill>
                <a:schemeClr val="bg1"/>
              </a:solidFill>
            </a:rPr>
            <a:t>GAMING</a:t>
          </a:r>
          <a:r>
            <a:rPr lang="en-GB" sz="2000" b="1" baseline="0">
              <a:solidFill>
                <a:schemeClr val="bg1"/>
              </a:solidFill>
            </a:rPr>
            <a:t> CONSOLE ANALYSIS DASHBOARD</a:t>
          </a:r>
          <a:endParaRPr lang="en-GB" sz="2000" b="1">
            <a:solidFill>
              <a:schemeClr val="bg1"/>
            </a:solidFill>
          </a:endParaRPr>
        </a:p>
      </xdr:txBody>
    </xdr:sp>
    <xdr:clientData/>
  </xdr:twoCellAnchor>
  <xdr:twoCellAnchor>
    <xdr:from>
      <xdr:col>3</xdr:col>
      <xdr:colOff>247445</xdr:colOff>
      <xdr:row>5</xdr:row>
      <xdr:rowOff>44794</xdr:rowOff>
    </xdr:from>
    <xdr:to>
      <xdr:col>14</xdr:col>
      <xdr:colOff>149798</xdr:colOff>
      <xdr:row>6</xdr:row>
      <xdr:rowOff>139720</xdr:rowOff>
    </xdr:to>
    <xdr:sp macro="" textlink="">
      <xdr:nvSpPr>
        <xdr:cNvPr id="4" name="TextBox 3">
          <a:extLst>
            <a:ext uri="{FF2B5EF4-FFF2-40B4-BE49-F238E27FC236}">
              <a16:creationId xmlns:a16="http://schemas.microsoft.com/office/drawing/2014/main" id="{2C8804F7-3CC2-4E20-9AFA-47F1359F980E}"/>
            </a:ext>
          </a:extLst>
        </xdr:cNvPr>
        <xdr:cNvSpPr txBox="1"/>
      </xdr:nvSpPr>
      <xdr:spPr>
        <a:xfrm>
          <a:off x="2096416" y="1025309"/>
          <a:ext cx="6681911" cy="291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solidFill>
                <a:srgbClr val="ADB8D4"/>
              </a:solidFill>
            </a:rPr>
            <a:t>A Summary of Game</a:t>
          </a:r>
          <a:r>
            <a:rPr lang="en-GB" sz="1200" baseline="0">
              <a:solidFill>
                <a:srgbClr val="ADB8D4"/>
              </a:solidFill>
            </a:rPr>
            <a:t> Console </a:t>
          </a:r>
          <a:r>
            <a:rPr lang="en-GB" sz="1200">
              <a:solidFill>
                <a:srgbClr val="ADB8D4"/>
              </a:solidFill>
            </a:rPr>
            <a:t>sales perfromance,</a:t>
          </a:r>
          <a:r>
            <a:rPr lang="en-GB" sz="1200" baseline="0">
              <a:solidFill>
                <a:srgbClr val="ADB8D4"/>
              </a:solidFill>
            </a:rPr>
            <a:t> Monthly </a:t>
          </a:r>
          <a:r>
            <a:rPr lang="en-GB" sz="1200">
              <a:solidFill>
                <a:srgbClr val="ADB8D4"/>
              </a:solidFill>
            </a:rPr>
            <a:t>trends,  regional distribution ,</a:t>
          </a:r>
          <a:r>
            <a:rPr lang="en-GB" sz="1200" baseline="0">
              <a:solidFill>
                <a:srgbClr val="ADB8D4"/>
              </a:solidFill>
            </a:rPr>
            <a:t> e.t.c...</a:t>
          </a:r>
          <a:endParaRPr lang="en-GB" sz="1200">
            <a:solidFill>
              <a:srgbClr val="ADB8D4"/>
            </a:solidFill>
          </a:endParaRPr>
        </a:p>
      </xdr:txBody>
    </xdr:sp>
    <xdr:clientData/>
  </xdr:twoCellAnchor>
  <xdr:twoCellAnchor>
    <xdr:from>
      <xdr:col>5</xdr:col>
      <xdr:colOff>576812</xdr:colOff>
      <xdr:row>7</xdr:row>
      <xdr:rowOff>153885</xdr:rowOff>
    </xdr:from>
    <xdr:to>
      <xdr:col>8</xdr:col>
      <xdr:colOff>6791</xdr:colOff>
      <xdr:row>11</xdr:row>
      <xdr:rowOff>104961</xdr:rowOff>
    </xdr:to>
    <xdr:sp macro="" textlink="">
      <xdr:nvSpPr>
        <xdr:cNvPr id="5" name="Rectangle: Rounded Corners 4">
          <a:extLst>
            <a:ext uri="{FF2B5EF4-FFF2-40B4-BE49-F238E27FC236}">
              <a16:creationId xmlns:a16="http://schemas.microsoft.com/office/drawing/2014/main" id="{6FEF3F71-AE6A-4C4C-9236-C0BC590DA996}"/>
            </a:ext>
          </a:extLst>
        </xdr:cNvPr>
        <xdr:cNvSpPr/>
      </xdr:nvSpPr>
      <xdr:spPr>
        <a:xfrm>
          <a:off x="3658430" y="1526606"/>
          <a:ext cx="1278949" cy="735487"/>
        </a:xfrm>
        <a:prstGeom prst="roundRect">
          <a:avLst/>
        </a:prstGeom>
        <a:solidFill>
          <a:srgbClr val="ADB8D4">
            <a:alpha val="28235"/>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147284</xdr:colOff>
      <xdr:row>7</xdr:row>
      <xdr:rowOff>153885</xdr:rowOff>
    </xdr:from>
    <xdr:to>
      <xdr:col>10</xdr:col>
      <xdr:colOff>193586</xdr:colOff>
      <xdr:row>11</xdr:row>
      <xdr:rowOff>104961</xdr:rowOff>
    </xdr:to>
    <xdr:sp macro="" textlink="">
      <xdr:nvSpPr>
        <xdr:cNvPr id="6" name="Rectangle: Rounded Corners 5">
          <a:extLst>
            <a:ext uri="{FF2B5EF4-FFF2-40B4-BE49-F238E27FC236}">
              <a16:creationId xmlns:a16="http://schemas.microsoft.com/office/drawing/2014/main" id="{1E19849D-76A9-4349-8E0F-05663E532AE7}"/>
            </a:ext>
          </a:extLst>
        </xdr:cNvPr>
        <xdr:cNvSpPr/>
      </xdr:nvSpPr>
      <xdr:spPr>
        <a:xfrm>
          <a:off x="5077872" y="1526606"/>
          <a:ext cx="1278949" cy="735487"/>
        </a:xfrm>
        <a:prstGeom prst="roundRect">
          <a:avLst/>
        </a:prstGeom>
        <a:solidFill>
          <a:srgbClr val="ADB8D4">
            <a:alpha val="28235"/>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334079</xdr:colOff>
      <xdr:row>7</xdr:row>
      <xdr:rowOff>153885</xdr:rowOff>
    </xdr:from>
    <xdr:to>
      <xdr:col>12</xdr:col>
      <xdr:colOff>380380</xdr:colOff>
      <xdr:row>11</xdr:row>
      <xdr:rowOff>104961</xdr:rowOff>
    </xdr:to>
    <xdr:sp macro="" textlink="">
      <xdr:nvSpPr>
        <xdr:cNvPr id="7" name="Rectangle: Rounded Corners 6">
          <a:extLst>
            <a:ext uri="{FF2B5EF4-FFF2-40B4-BE49-F238E27FC236}">
              <a16:creationId xmlns:a16="http://schemas.microsoft.com/office/drawing/2014/main" id="{D3AAA1DC-EC7B-4EAC-81C3-5D70546EA44C}"/>
            </a:ext>
          </a:extLst>
        </xdr:cNvPr>
        <xdr:cNvSpPr/>
      </xdr:nvSpPr>
      <xdr:spPr>
        <a:xfrm>
          <a:off x="6497314" y="1526606"/>
          <a:ext cx="1278948" cy="735487"/>
        </a:xfrm>
        <a:prstGeom prst="roundRect">
          <a:avLst/>
        </a:prstGeom>
        <a:solidFill>
          <a:srgbClr val="ADB8D4">
            <a:alpha val="28235"/>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66222</xdr:colOff>
      <xdr:row>10</xdr:row>
      <xdr:rowOff>2428</xdr:rowOff>
    </xdr:from>
    <xdr:to>
      <xdr:col>8</xdr:col>
      <xdr:colOff>324795</xdr:colOff>
      <xdr:row>11</xdr:row>
      <xdr:rowOff>93271</xdr:rowOff>
    </xdr:to>
    <xdr:sp macro="" textlink="">
      <xdr:nvSpPr>
        <xdr:cNvPr id="8" name="TextBox 7">
          <a:extLst>
            <a:ext uri="{FF2B5EF4-FFF2-40B4-BE49-F238E27FC236}">
              <a16:creationId xmlns:a16="http://schemas.microsoft.com/office/drawing/2014/main" id="{435A250C-9386-44B7-AC7F-14A80205A27E}"/>
            </a:ext>
          </a:extLst>
        </xdr:cNvPr>
        <xdr:cNvSpPr txBox="1"/>
      </xdr:nvSpPr>
      <xdr:spPr>
        <a:xfrm>
          <a:off x="3764163" y="1963457"/>
          <a:ext cx="1491220" cy="286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900" b="0">
              <a:solidFill>
                <a:schemeClr val="bg1"/>
              </a:solidFill>
              <a:latin typeface="+mn-lt"/>
              <a:ea typeface="+mn-ea"/>
              <a:cs typeface="+mn-cs"/>
            </a:rPr>
            <a:t> Marketing Budget</a:t>
          </a:r>
        </a:p>
      </xdr:txBody>
    </xdr:sp>
    <xdr:clientData/>
  </xdr:twoCellAnchor>
  <xdr:twoCellAnchor>
    <xdr:from>
      <xdr:col>8</xdr:col>
      <xdr:colOff>329433</xdr:colOff>
      <xdr:row>9</xdr:row>
      <xdr:rowOff>185975</xdr:rowOff>
    </xdr:from>
    <xdr:to>
      <xdr:col>10</xdr:col>
      <xdr:colOff>588006</xdr:colOff>
      <xdr:row>11</xdr:row>
      <xdr:rowOff>90239</xdr:rowOff>
    </xdr:to>
    <xdr:sp macro="" textlink="">
      <xdr:nvSpPr>
        <xdr:cNvPr id="9" name="TextBox 8">
          <a:extLst>
            <a:ext uri="{FF2B5EF4-FFF2-40B4-BE49-F238E27FC236}">
              <a16:creationId xmlns:a16="http://schemas.microsoft.com/office/drawing/2014/main" id="{285DFFEA-484B-4BDE-B0F3-4131909DA0AB}"/>
            </a:ext>
          </a:extLst>
        </xdr:cNvPr>
        <xdr:cNvSpPr txBox="1"/>
      </xdr:nvSpPr>
      <xdr:spPr>
        <a:xfrm>
          <a:off x="5260021" y="1950901"/>
          <a:ext cx="1491220" cy="296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900" b="0">
              <a:solidFill>
                <a:schemeClr val="bg1"/>
              </a:solidFill>
              <a:latin typeface="+mn-lt"/>
              <a:ea typeface="+mn-ea"/>
              <a:cs typeface="+mn-cs"/>
            </a:rPr>
            <a:t> Total Unit Sold</a:t>
          </a:r>
        </a:p>
      </xdr:txBody>
    </xdr:sp>
    <xdr:clientData/>
  </xdr:twoCellAnchor>
  <xdr:twoCellAnchor>
    <xdr:from>
      <xdr:col>11</xdr:col>
      <xdr:colOff>56852</xdr:colOff>
      <xdr:row>10</xdr:row>
      <xdr:rowOff>9355</xdr:rowOff>
    </xdr:from>
    <xdr:to>
      <xdr:col>12</xdr:col>
      <xdr:colOff>274523</xdr:colOff>
      <xdr:row>11</xdr:row>
      <xdr:rowOff>66427</xdr:rowOff>
    </xdr:to>
    <xdr:sp macro="" textlink="">
      <xdr:nvSpPr>
        <xdr:cNvPr id="10" name="TextBox 9">
          <a:extLst>
            <a:ext uri="{FF2B5EF4-FFF2-40B4-BE49-F238E27FC236}">
              <a16:creationId xmlns:a16="http://schemas.microsoft.com/office/drawing/2014/main" id="{5775B2C9-CBE4-412B-B95F-9EC1EEA69B72}"/>
            </a:ext>
          </a:extLst>
        </xdr:cNvPr>
        <xdr:cNvSpPr txBox="1"/>
      </xdr:nvSpPr>
      <xdr:spPr>
        <a:xfrm>
          <a:off x="6836411" y="1970384"/>
          <a:ext cx="833994" cy="253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900" b="0">
              <a:solidFill>
                <a:schemeClr val="bg1"/>
              </a:solidFill>
              <a:latin typeface="+mn-lt"/>
              <a:ea typeface="+mn-ea"/>
              <a:cs typeface="+mn-cs"/>
            </a:rPr>
            <a:t> Total cost</a:t>
          </a:r>
        </a:p>
        <a:p>
          <a:pPr marL="0" indent="0"/>
          <a:endParaRPr lang="en-GB" sz="900" b="0">
            <a:solidFill>
              <a:schemeClr val="bg1"/>
            </a:solidFill>
            <a:latin typeface="+mn-lt"/>
            <a:ea typeface="+mn-ea"/>
            <a:cs typeface="+mn-cs"/>
          </a:endParaRPr>
        </a:p>
      </xdr:txBody>
    </xdr:sp>
    <xdr:clientData/>
  </xdr:twoCellAnchor>
  <xdr:twoCellAnchor>
    <xdr:from>
      <xdr:col>3</xdr:col>
      <xdr:colOff>350184</xdr:colOff>
      <xdr:row>7</xdr:row>
      <xdr:rowOff>143063</xdr:rowOff>
    </xdr:from>
    <xdr:to>
      <xdr:col>5</xdr:col>
      <xdr:colOff>396486</xdr:colOff>
      <xdr:row>11</xdr:row>
      <xdr:rowOff>94139</xdr:rowOff>
    </xdr:to>
    <xdr:sp macro="" textlink="">
      <xdr:nvSpPr>
        <xdr:cNvPr id="12" name="Rectangle: Rounded Corners 11">
          <a:extLst>
            <a:ext uri="{FF2B5EF4-FFF2-40B4-BE49-F238E27FC236}">
              <a16:creationId xmlns:a16="http://schemas.microsoft.com/office/drawing/2014/main" id="{0AFA241C-AC61-4BE4-B171-EB6F25FE2DEB}"/>
            </a:ext>
          </a:extLst>
        </xdr:cNvPr>
        <xdr:cNvSpPr/>
      </xdr:nvSpPr>
      <xdr:spPr>
        <a:xfrm>
          <a:off x="2199155" y="1515784"/>
          <a:ext cx="1278949" cy="735487"/>
        </a:xfrm>
        <a:prstGeom prst="roundRect">
          <a:avLst/>
        </a:prstGeom>
        <a:solidFill>
          <a:srgbClr val="ADB8D4">
            <a:alpha val="28235"/>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3</xdr:col>
      <xdr:colOff>421624</xdr:colOff>
      <xdr:row>8</xdr:row>
      <xdr:rowOff>43837</xdr:rowOff>
    </xdr:from>
    <xdr:to>
      <xdr:col>4</xdr:col>
      <xdr:colOff>32180</xdr:colOff>
      <xdr:row>9</xdr:row>
      <xdr:rowOff>73880</xdr:rowOff>
    </xdr:to>
    <xdr:pic>
      <xdr:nvPicPr>
        <xdr:cNvPr id="13" name="Picture 12">
          <a:extLst>
            <a:ext uri="{FF2B5EF4-FFF2-40B4-BE49-F238E27FC236}">
              <a16:creationId xmlns:a16="http://schemas.microsoft.com/office/drawing/2014/main" id="{A281102B-9B9F-419E-B4C7-2EE7FC4996BA}"/>
            </a:ext>
          </a:extLst>
        </xdr:cNvPr>
        <xdr:cNvPicPr>
          <a:picLocks noChangeAspect="1"/>
        </xdr:cNvPicPr>
      </xdr:nvPicPr>
      <xdr:blipFill>
        <a:blip xmlns:r="http://schemas.openxmlformats.org/officeDocument/2006/relationships" r:embed="rId1">
          <a:lum bright="70000" contrast="-70000"/>
          <a:extLst>
            <a:ext uri="{BEBA8EAE-BF5A-486C-A8C5-ECC9F3942E4B}">
              <a14:imgProps xmlns:a14="http://schemas.microsoft.com/office/drawing/2010/main">
                <a14:imgLayer r:embed="rId2">
                  <a14:imgEffect>
                    <a14:colorTemperature colorTemp="4700"/>
                  </a14:imgEffect>
                </a14:imgLayer>
              </a14:imgProps>
            </a:ext>
          </a:extLst>
        </a:blip>
        <a:stretch>
          <a:fillRect/>
        </a:stretch>
      </xdr:blipFill>
      <xdr:spPr>
        <a:xfrm>
          <a:off x="2270595" y="1612661"/>
          <a:ext cx="226879" cy="226145"/>
        </a:xfrm>
        <a:prstGeom prst="rect">
          <a:avLst/>
        </a:prstGeom>
      </xdr:spPr>
    </xdr:pic>
    <xdr:clientData/>
  </xdr:twoCellAnchor>
  <xdr:twoCellAnchor>
    <xdr:from>
      <xdr:col>3</xdr:col>
      <xdr:colOff>520645</xdr:colOff>
      <xdr:row>9</xdr:row>
      <xdr:rowOff>194635</xdr:rowOff>
    </xdr:from>
    <xdr:to>
      <xdr:col>5</xdr:col>
      <xdr:colOff>169186</xdr:colOff>
      <xdr:row>11</xdr:row>
      <xdr:rowOff>108577</xdr:rowOff>
    </xdr:to>
    <xdr:sp macro="" textlink="">
      <xdr:nvSpPr>
        <xdr:cNvPr id="14" name="TextBox 13">
          <a:extLst>
            <a:ext uri="{FF2B5EF4-FFF2-40B4-BE49-F238E27FC236}">
              <a16:creationId xmlns:a16="http://schemas.microsoft.com/office/drawing/2014/main" id="{76EBB557-1DCC-4E16-A903-CDB30CADB4E5}"/>
            </a:ext>
          </a:extLst>
        </xdr:cNvPr>
        <xdr:cNvSpPr txBox="1"/>
      </xdr:nvSpPr>
      <xdr:spPr>
        <a:xfrm>
          <a:off x="2369616" y="1959561"/>
          <a:ext cx="881188" cy="3061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900" b="0">
              <a:solidFill>
                <a:schemeClr val="bg1"/>
              </a:solidFill>
            </a:rPr>
            <a:t>Total</a:t>
          </a:r>
          <a:r>
            <a:rPr lang="en-GB" sz="900" b="0" baseline="0">
              <a:solidFill>
                <a:schemeClr val="bg1"/>
              </a:solidFill>
            </a:rPr>
            <a:t> Revenue</a:t>
          </a:r>
          <a:endParaRPr lang="en-GB" sz="900" b="0">
            <a:solidFill>
              <a:schemeClr val="bg1"/>
            </a:solidFill>
          </a:endParaRPr>
        </a:p>
      </xdr:txBody>
    </xdr:sp>
    <xdr:clientData/>
  </xdr:twoCellAnchor>
  <xdr:twoCellAnchor editAs="oneCell">
    <xdr:from>
      <xdr:col>6</xdr:col>
      <xdr:colOff>26183</xdr:colOff>
      <xdr:row>8</xdr:row>
      <xdr:rowOff>87684</xdr:rowOff>
    </xdr:from>
    <xdr:to>
      <xdr:col>6</xdr:col>
      <xdr:colOff>210775</xdr:colOff>
      <xdr:row>9</xdr:row>
      <xdr:rowOff>73880</xdr:rowOff>
    </xdr:to>
    <xdr:pic>
      <xdr:nvPicPr>
        <xdr:cNvPr id="15" name="Picture 14">
          <a:extLst>
            <a:ext uri="{FF2B5EF4-FFF2-40B4-BE49-F238E27FC236}">
              <a16:creationId xmlns:a16="http://schemas.microsoft.com/office/drawing/2014/main" id="{110C0B5E-362A-48B4-A18D-24451BB3AFF1}"/>
            </a:ext>
          </a:extLst>
        </xdr:cNvPr>
        <xdr:cNvPicPr>
          <a:picLocks noChangeAspect="1"/>
        </xdr:cNvPicPr>
      </xdr:nvPicPr>
      <xdr:blipFill>
        <a:blip xmlns:r="http://schemas.openxmlformats.org/officeDocument/2006/relationships" r:embed="rId3" cstate="print">
          <a:alphaModFix amt="50000"/>
          <a:duotone>
            <a:prstClr val="black"/>
            <a:schemeClr val="tx2">
              <a:tint val="45000"/>
              <a:satMod val="400000"/>
            </a:schemeClr>
          </a:duotone>
          <a:extLst>
            <a:ext uri="{28A0092B-C50C-407E-A947-70E740481C1C}">
              <a14:useLocalDpi xmlns:a14="http://schemas.microsoft.com/office/drawing/2010/main" val="0"/>
            </a:ext>
          </a:extLst>
        </a:blip>
        <a:stretch>
          <a:fillRect/>
        </a:stretch>
      </xdr:blipFill>
      <xdr:spPr>
        <a:xfrm>
          <a:off x="3724124" y="1656508"/>
          <a:ext cx="184592" cy="182298"/>
        </a:xfrm>
        <a:prstGeom prst="rect">
          <a:avLst/>
        </a:prstGeom>
      </xdr:spPr>
    </xdr:pic>
    <xdr:clientData/>
  </xdr:twoCellAnchor>
  <xdr:twoCellAnchor editAs="oneCell">
    <xdr:from>
      <xdr:col>8</xdr:col>
      <xdr:colOff>183131</xdr:colOff>
      <xdr:row>8</xdr:row>
      <xdr:rowOff>88280</xdr:rowOff>
    </xdr:from>
    <xdr:to>
      <xdr:col>8</xdr:col>
      <xdr:colOff>405667</xdr:colOff>
      <xdr:row>9</xdr:row>
      <xdr:rowOff>107498</xdr:rowOff>
    </xdr:to>
    <xdr:pic>
      <xdr:nvPicPr>
        <xdr:cNvPr id="16" name="Picture 15">
          <a:extLst>
            <a:ext uri="{FF2B5EF4-FFF2-40B4-BE49-F238E27FC236}">
              <a16:creationId xmlns:a16="http://schemas.microsoft.com/office/drawing/2014/main" id="{3A76E759-A5E4-46BA-9D7F-D971B018CD11}"/>
            </a:ext>
          </a:extLst>
        </xdr:cNvPr>
        <xdr:cNvPicPr>
          <a:picLocks noChangeAspect="1"/>
        </xdr:cNvPicPr>
      </xdr:nvPicPr>
      <xdr:blipFill>
        <a:blip xmlns:r="http://schemas.openxmlformats.org/officeDocument/2006/relationships" r:embed="rId4">
          <a:duotone>
            <a:schemeClr val="bg2">
              <a:shade val="45000"/>
              <a:satMod val="135000"/>
            </a:schemeClr>
            <a:prstClr val="white"/>
          </a:duotone>
        </a:blip>
        <a:stretch>
          <a:fillRect/>
        </a:stretch>
      </xdr:blipFill>
      <xdr:spPr>
        <a:xfrm flipH="1">
          <a:off x="5113719" y="1657104"/>
          <a:ext cx="222536" cy="215320"/>
        </a:xfrm>
        <a:prstGeom prst="rect">
          <a:avLst/>
        </a:prstGeom>
      </xdr:spPr>
    </xdr:pic>
    <xdr:clientData/>
  </xdr:twoCellAnchor>
  <xdr:twoCellAnchor editAs="oneCell">
    <xdr:from>
      <xdr:col>10</xdr:col>
      <xdr:colOff>421317</xdr:colOff>
      <xdr:row>8</xdr:row>
      <xdr:rowOff>87131</xdr:rowOff>
    </xdr:from>
    <xdr:to>
      <xdr:col>11</xdr:col>
      <xdr:colOff>3993</xdr:colOff>
      <xdr:row>9</xdr:row>
      <xdr:rowOff>73880</xdr:rowOff>
    </xdr:to>
    <xdr:pic>
      <xdr:nvPicPr>
        <xdr:cNvPr id="17" name="Picture 16">
          <a:extLst>
            <a:ext uri="{FF2B5EF4-FFF2-40B4-BE49-F238E27FC236}">
              <a16:creationId xmlns:a16="http://schemas.microsoft.com/office/drawing/2014/main" id="{5B1286A0-5EDF-439E-B956-B61AC35490A8}"/>
            </a:ext>
          </a:extLst>
        </xdr:cNvPr>
        <xdr:cNvPicPr>
          <a:picLocks noChangeAspect="1"/>
        </xdr:cNvPicPr>
      </xdr:nvPicPr>
      <xdr:blipFill>
        <a:blip xmlns:r="http://schemas.openxmlformats.org/officeDocument/2006/relationships" r:embed="rId5">
          <a:duotone>
            <a:schemeClr val="bg2">
              <a:shade val="45000"/>
              <a:satMod val="135000"/>
            </a:schemeClr>
            <a:prstClr val="white"/>
          </a:duotone>
        </a:blip>
        <a:stretch>
          <a:fillRect/>
        </a:stretch>
      </xdr:blipFill>
      <xdr:spPr>
        <a:xfrm>
          <a:off x="6584552" y="1655955"/>
          <a:ext cx="190067" cy="182851"/>
        </a:xfrm>
        <a:prstGeom prst="rect">
          <a:avLst/>
        </a:prstGeom>
      </xdr:spPr>
    </xdr:pic>
    <xdr:clientData/>
  </xdr:twoCellAnchor>
  <xdr:twoCellAnchor editAs="oneCell">
    <xdr:from>
      <xdr:col>12</xdr:col>
      <xdr:colOff>390618</xdr:colOff>
      <xdr:row>7</xdr:row>
      <xdr:rowOff>126067</xdr:rowOff>
    </xdr:from>
    <xdr:to>
      <xdr:col>15</xdr:col>
      <xdr:colOff>131499</xdr:colOff>
      <xdr:row>12</xdr:row>
      <xdr:rowOff>33639</xdr:rowOff>
    </xdr:to>
    <xdr:pic>
      <xdr:nvPicPr>
        <xdr:cNvPr id="18" name="Picture 17">
          <a:extLst>
            <a:ext uri="{FF2B5EF4-FFF2-40B4-BE49-F238E27FC236}">
              <a16:creationId xmlns:a16="http://schemas.microsoft.com/office/drawing/2014/main" id="{02F07A27-60DE-4208-92EC-24F75AB73A61}"/>
            </a:ext>
          </a:extLst>
        </xdr:cNvPr>
        <xdr:cNvPicPr>
          <a:picLocks noChangeAspect="1"/>
        </xdr:cNvPicPr>
      </xdr:nvPicPr>
      <xdr:blipFill>
        <a:blip xmlns:r="http://schemas.openxmlformats.org/officeDocument/2006/relationships" r:embed="rId6" cstate="print">
          <a:extLst>
            <a:ext uri="{BEBA8EAE-BF5A-486C-A8C5-ECC9F3942E4B}">
              <a14:imgProps xmlns:a14="http://schemas.microsoft.com/office/drawing/2010/main">
                <a14:imgLayer r:embed="rId7">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7786500" y="1498788"/>
          <a:ext cx="1589852" cy="888086"/>
        </a:xfrm>
        <a:prstGeom prst="rect">
          <a:avLst/>
        </a:prstGeom>
      </xdr:spPr>
    </xdr:pic>
    <xdr:clientData/>
  </xdr:twoCellAnchor>
  <xdr:twoCellAnchor>
    <xdr:from>
      <xdr:col>12</xdr:col>
      <xdr:colOff>542508</xdr:colOff>
      <xdr:row>7</xdr:row>
      <xdr:rowOff>152204</xdr:rowOff>
    </xdr:from>
    <xdr:to>
      <xdr:col>14</xdr:col>
      <xdr:colOff>588809</xdr:colOff>
      <xdr:row>11</xdr:row>
      <xdr:rowOff>103280</xdr:rowOff>
    </xdr:to>
    <xdr:sp macro="" textlink="">
      <xdr:nvSpPr>
        <xdr:cNvPr id="19" name="Rectangle: Rounded Corners 18">
          <a:extLst>
            <a:ext uri="{FF2B5EF4-FFF2-40B4-BE49-F238E27FC236}">
              <a16:creationId xmlns:a16="http://schemas.microsoft.com/office/drawing/2014/main" id="{2702C545-F16C-4396-BD67-B78FBF7F3740}"/>
            </a:ext>
          </a:extLst>
        </xdr:cNvPr>
        <xdr:cNvSpPr/>
      </xdr:nvSpPr>
      <xdr:spPr>
        <a:xfrm>
          <a:off x="7938390" y="1524925"/>
          <a:ext cx="1278948" cy="735487"/>
        </a:xfrm>
        <a:prstGeom prst="roundRect">
          <a:avLst/>
        </a:prstGeom>
        <a:solidFill>
          <a:srgbClr val="ADB8D4">
            <a:alpha val="28235"/>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596862</xdr:colOff>
      <xdr:row>7</xdr:row>
      <xdr:rowOff>191434</xdr:rowOff>
    </xdr:from>
    <xdr:to>
      <xdr:col>5</xdr:col>
      <xdr:colOff>343592</xdr:colOff>
      <xdr:row>9</xdr:row>
      <xdr:rowOff>119012</xdr:rowOff>
    </xdr:to>
    <xdr:sp macro="" textlink="renvenue">
      <xdr:nvSpPr>
        <xdr:cNvPr id="20" name="TextBox 19">
          <a:extLst>
            <a:ext uri="{FF2B5EF4-FFF2-40B4-BE49-F238E27FC236}">
              <a16:creationId xmlns:a16="http://schemas.microsoft.com/office/drawing/2014/main" id="{940EEBA9-3EFE-42CD-B154-8E013222993F}"/>
            </a:ext>
          </a:extLst>
        </xdr:cNvPr>
        <xdr:cNvSpPr txBox="1"/>
      </xdr:nvSpPr>
      <xdr:spPr>
        <a:xfrm>
          <a:off x="2431954" y="1537168"/>
          <a:ext cx="970124" cy="3120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eaLnBrk="1" fontAlgn="auto" latinLnBrk="0" hangingPunct="1"/>
          <a:fld id="{2E6B7432-D919-4B7C-81E7-83E9BDEA496A}" type="TxLink">
            <a:rPr lang="en-US" sz="1800" b="0" i="0" u="none" strike="noStrike">
              <a:solidFill>
                <a:schemeClr val="bg1"/>
              </a:solidFill>
              <a:effectLst/>
              <a:latin typeface="Calibri"/>
              <a:ea typeface="+mn-ea"/>
              <a:cs typeface="Calibri"/>
            </a:rPr>
            <a:pPr marL="0" indent="0" eaLnBrk="1" fontAlgn="auto" latinLnBrk="0" hangingPunct="1"/>
            <a:t>$5.2M</a:t>
          </a:fld>
          <a:endParaRPr lang="en-GB" sz="1800" b="0" i="0" u="none" strike="noStrike">
            <a:solidFill>
              <a:schemeClr val="bg1"/>
            </a:solidFill>
            <a:effectLst/>
            <a:latin typeface="Calibri"/>
            <a:ea typeface="+mn-ea"/>
            <a:cs typeface="Calibri"/>
          </a:endParaRPr>
        </a:p>
      </xdr:txBody>
    </xdr:sp>
    <xdr:clientData/>
  </xdr:twoCellAnchor>
  <xdr:twoCellAnchor>
    <xdr:from>
      <xdr:col>6</xdr:col>
      <xdr:colOff>243207</xdr:colOff>
      <xdr:row>7</xdr:row>
      <xdr:rowOff>173957</xdr:rowOff>
    </xdr:from>
    <xdr:to>
      <xdr:col>7</xdr:col>
      <xdr:colOff>597567</xdr:colOff>
      <xdr:row>9</xdr:row>
      <xdr:rowOff>101535</xdr:rowOff>
    </xdr:to>
    <xdr:sp macro="" textlink="Mbudget">
      <xdr:nvSpPr>
        <xdr:cNvPr id="21" name="TextBox 20">
          <a:extLst>
            <a:ext uri="{FF2B5EF4-FFF2-40B4-BE49-F238E27FC236}">
              <a16:creationId xmlns:a16="http://schemas.microsoft.com/office/drawing/2014/main" id="{203B844D-ACB8-476C-99A5-D48737C5857B}"/>
            </a:ext>
          </a:extLst>
        </xdr:cNvPr>
        <xdr:cNvSpPr txBox="1"/>
      </xdr:nvSpPr>
      <xdr:spPr>
        <a:xfrm>
          <a:off x="3913390" y="1519691"/>
          <a:ext cx="966058" cy="3120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eaLnBrk="1" fontAlgn="auto" latinLnBrk="0" hangingPunct="1"/>
          <a:fld id="{05E7E7B2-E70C-430B-9324-1976AE52752B}" type="TxLink">
            <a:rPr lang="en-US" sz="1800" b="0" i="0" u="none" strike="noStrike">
              <a:solidFill>
                <a:schemeClr val="bg1"/>
              </a:solidFill>
              <a:effectLst/>
              <a:latin typeface="Calibri"/>
              <a:ea typeface="+mn-ea"/>
              <a:cs typeface="Calibri"/>
            </a:rPr>
            <a:pPr marL="0" indent="0" eaLnBrk="1" fontAlgn="auto" latinLnBrk="0" hangingPunct="1"/>
            <a:t>$1.0M</a:t>
          </a:fld>
          <a:endParaRPr lang="en-GB" sz="1800" b="0" i="0" u="none" strike="noStrike">
            <a:solidFill>
              <a:schemeClr val="bg1"/>
            </a:solidFill>
            <a:effectLst/>
            <a:latin typeface="Calibri"/>
            <a:ea typeface="+mn-ea"/>
            <a:cs typeface="Calibri"/>
          </a:endParaRPr>
        </a:p>
      </xdr:txBody>
    </xdr:sp>
    <xdr:clientData/>
  </xdr:twoCellAnchor>
  <xdr:twoCellAnchor>
    <xdr:from>
      <xdr:col>8</xdr:col>
      <xdr:colOff>322411</xdr:colOff>
      <xdr:row>8</xdr:row>
      <xdr:rowOff>21247</xdr:rowOff>
    </xdr:from>
    <xdr:to>
      <xdr:col>10</xdr:col>
      <xdr:colOff>478264</xdr:colOff>
      <xdr:row>10</xdr:row>
      <xdr:rowOff>9565</xdr:rowOff>
    </xdr:to>
    <xdr:sp macro="" textlink="UNITS">
      <xdr:nvSpPr>
        <xdr:cNvPr id="22" name="TextBox 21">
          <a:extLst>
            <a:ext uri="{FF2B5EF4-FFF2-40B4-BE49-F238E27FC236}">
              <a16:creationId xmlns:a16="http://schemas.microsoft.com/office/drawing/2014/main" id="{0FBAC9A0-0003-44D8-BDE7-16780A8AF555}"/>
            </a:ext>
          </a:extLst>
        </xdr:cNvPr>
        <xdr:cNvSpPr txBox="1"/>
      </xdr:nvSpPr>
      <xdr:spPr>
        <a:xfrm>
          <a:off x="5215989" y="1559229"/>
          <a:ext cx="1379247" cy="372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eaLnBrk="1" fontAlgn="auto" latinLnBrk="0" hangingPunct="1"/>
          <a:fld id="{198596FF-A5C1-4AEA-A872-CBABADDDA584}" type="TxLink">
            <a:rPr lang="en-US" sz="1600" b="0" i="0" u="none" strike="noStrike">
              <a:solidFill>
                <a:schemeClr val="bg1"/>
              </a:solidFill>
              <a:effectLst/>
              <a:latin typeface="Calibri"/>
              <a:ea typeface="+mn-ea"/>
              <a:cs typeface="Calibri"/>
            </a:rPr>
            <a:pPr marL="0" indent="0" eaLnBrk="1" fontAlgn="auto" latinLnBrk="0" hangingPunct="1"/>
            <a:t>$84893.0K</a:t>
          </a:fld>
          <a:endParaRPr lang="en-GB" sz="1600" b="0" i="0" u="none" strike="noStrike">
            <a:solidFill>
              <a:schemeClr val="bg1"/>
            </a:solidFill>
            <a:effectLst/>
            <a:latin typeface="Calibri"/>
            <a:ea typeface="+mn-ea"/>
            <a:cs typeface="Calibri"/>
          </a:endParaRPr>
        </a:p>
      </xdr:txBody>
    </xdr:sp>
    <xdr:clientData/>
  </xdr:twoCellAnchor>
  <xdr:twoCellAnchor>
    <xdr:from>
      <xdr:col>10</xdr:col>
      <xdr:colOff>578866</xdr:colOff>
      <xdr:row>8</xdr:row>
      <xdr:rowOff>25401</xdr:rowOff>
    </xdr:from>
    <xdr:to>
      <xdr:col>12</xdr:col>
      <xdr:colOff>325596</xdr:colOff>
      <xdr:row>9</xdr:row>
      <xdr:rowOff>145227</xdr:rowOff>
    </xdr:to>
    <xdr:sp macro="" textlink="PPcosst">
      <xdr:nvSpPr>
        <xdr:cNvPr id="23" name="TextBox 22">
          <a:extLst>
            <a:ext uri="{FF2B5EF4-FFF2-40B4-BE49-F238E27FC236}">
              <a16:creationId xmlns:a16="http://schemas.microsoft.com/office/drawing/2014/main" id="{1ED69C85-1DD3-4B1F-B305-19381635539B}"/>
            </a:ext>
          </a:extLst>
        </xdr:cNvPr>
        <xdr:cNvSpPr txBox="1"/>
      </xdr:nvSpPr>
      <xdr:spPr>
        <a:xfrm>
          <a:off x="6695838" y="1563383"/>
          <a:ext cx="970125" cy="3120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eaLnBrk="1" fontAlgn="auto" latinLnBrk="0" hangingPunct="1"/>
          <a:fld id="{BF2E821D-30FA-4656-979C-520C700A859B}" type="TxLink">
            <a:rPr lang="en-US" sz="1800" b="0" i="0" u="none" strike="noStrike">
              <a:solidFill>
                <a:schemeClr val="bg1"/>
              </a:solidFill>
              <a:effectLst/>
              <a:latin typeface="Calibri"/>
              <a:ea typeface="+mn-ea"/>
              <a:cs typeface="Calibri"/>
            </a:rPr>
            <a:pPr marL="0" indent="0" eaLnBrk="1" fontAlgn="auto" latinLnBrk="0" hangingPunct="1"/>
            <a:t>$17.0M</a:t>
          </a:fld>
          <a:endParaRPr lang="en-GB" sz="1800" b="0" i="0" u="none" strike="noStrike">
            <a:solidFill>
              <a:schemeClr val="bg1"/>
            </a:solidFill>
            <a:effectLst/>
            <a:latin typeface="Calibri"/>
            <a:ea typeface="+mn-ea"/>
            <a:cs typeface="Calibri"/>
          </a:endParaRPr>
        </a:p>
      </xdr:txBody>
    </xdr:sp>
    <xdr:clientData/>
  </xdr:twoCellAnchor>
  <xdr:twoCellAnchor>
    <xdr:from>
      <xdr:col>3</xdr:col>
      <xdr:colOff>437841</xdr:colOff>
      <xdr:row>13</xdr:row>
      <xdr:rowOff>137681</xdr:rowOff>
    </xdr:from>
    <xdr:to>
      <xdr:col>8</xdr:col>
      <xdr:colOff>109905</xdr:colOff>
      <xdr:row>21</xdr:row>
      <xdr:rowOff>85481</xdr:rowOff>
    </xdr:to>
    <xdr:graphicFrame macro="">
      <xdr:nvGraphicFramePr>
        <xdr:cNvPr id="24" name="Chart 23">
          <a:extLst>
            <a:ext uri="{FF2B5EF4-FFF2-40B4-BE49-F238E27FC236}">
              <a16:creationId xmlns:a16="http://schemas.microsoft.com/office/drawing/2014/main" id="{8A07E8B0-37D2-4D55-BE2A-003E52EFBD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0</xdr:colOff>
      <xdr:row>11</xdr:row>
      <xdr:rowOff>79643</xdr:rowOff>
    </xdr:from>
    <xdr:to>
      <xdr:col>20</xdr:col>
      <xdr:colOff>12213</xdr:colOff>
      <xdr:row>19</xdr:row>
      <xdr:rowOff>128489</xdr:rowOff>
    </xdr:to>
    <xdr:graphicFrame macro="">
      <xdr:nvGraphicFramePr>
        <xdr:cNvPr id="26" name="Chart 25">
          <a:extLst>
            <a:ext uri="{FF2B5EF4-FFF2-40B4-BE49-F238E27FC236}">
              <a16:creationId xmlns:a16="http://schemas.microsoft.com/office/drawing/2014/main" id="{929404FE-8906-4314-BC76-2112021B8B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244230</xdr:colOff>
      <xdr:row>22</xdr:row>
      <xdr:rowOff>146538</xdr:rowOff>
    </xdr:from>
    <xdr:to>
      <xdr:col>20</xdr:col>
      <xdr:colOff>192929</xdr:colOff>
      <xdr:row>34</xdr:row>
      <xdr:rowOff>2670</xdr:rowOff>
    </xdr:to>
    <xdr:graphicFrame macro="">
      <xdr:nvGraphicFramePr>
        <xdr:cNvPr id="27" name="Chart 26">
          <a:extLst>
            <a:ext uri="{FF2B5EF4-FFF2-40B4-BE49-F238E27FC236}">
              <a16:creationId xmlns:a16="http://schemas.microsoft.com/office/drawing/2014/main" id="{E1C28E02-5C80-429F-BEA3-80D51046D1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455138</xdr:colOff>
      <xdr:row>20</xdr:row>
      <xdr:rowOff>122705</xdr:rowOff>
    </xdr:from>
    <xdr:to>
      <xdr:col>20</xdr:col>
      <xdr:colOff>89731</xdr:colOff>
      <xdr:row>21</xdr:row>
      <xdr:rowOff>82312</xdr:rowOff>
    </xdr:to>
    <xdr:sp macro="" textlink="">
      <xdr:nvSpPr>
        <xdr:cNvPr id="28" name="TextBox 27">
          <a:extLst>
            <a:ext uri="{FF2B5EF4-FFF2-40B4-BE49-F238E27FC236}">
              <a16:creationId xmlns:a16="http://schemas.microsoft.com/office/drawing/2014/main" id="{D3178009-CBD0-4A93-ADFE-A63A1A1A6038}"/>
            </a:ext>
          </a:extLst>
        </xdr:cNvPr>
        <xdr:cNvSpPr txBox="1"/>
      </xdr:nvSpPr>
      <xdr:spPr>
        <a:xfrm>
          <a:off x="8958616" y="3987922"/>
          <a:ext cx="3278941" cy="1528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n-GB" sz="1100" b="1" i="0">
              <a:solidFill>
                <a:srgbClr val="FFFFFF"/>
              </a:solidFill>
              <a:effectLst/>
              <a:latin typeface="+mn-lt"/>
              <a:ea typeface="+mn-ea"/>
              <a:cs typeface="+mn-cs"/>
            </a:rPr>
            <a:t>Monthly</a:t>
          </a:r>
          <a:r>
            <a:rPr lang="en-GB" sz="1100" b="1" i="0" baseline="0">
              <a:solidFill>
                <a:srgbClr val="FFFFFF"/>
              </a:solidFill>
              <a:effectLst/>
              <a:latin typeface="+mn-lt"/>
              <a:ea typeface="+mn-ea"/>
              <a:cs typeface="+mn-cs"/>
            </a:rPr>
            <a:t> Sales Trend</a:t>
          </a:r>
          <a:endParaRPr lang="en-GB" sz="1100" b="0" i="0">
            <a:solidFill>
              <a:srgbClr val="FFFFFF"/>
            </a:solidFill>
            <a:latin typeface="+mn-lt"/>
            <a:ea typeface="+mn-ea"/>
            <a:cs typeface="+mn-cs"/>
          </a:endParaRPr>
        </a:p>
      </xdr:txBody>
    </xdr:sp>
    <xdr:clientData/>
  </xdr:twoCellAnchor>
  <xdr:twoCellAnchor>
    <xdr:from>
      <xdr:col>3</xdr:col>
      <xdr:colOff>199325</xdr:colOff>
      <xdr:row>21</xdr:row>
      <xdr:rowOff>36323</xdr:rowOff>
    </xdr:from>
    <xdr:to>
      <xdr:col>8</xdr:col>
      <xdr:colOff>445283</xdr:colOff>
      <xdr:row>21</xdr:row>
      <xdr:rowOff>191315</xdr:rowOff>
    </xdr:to>
    <xdr:sp macro="" textlink="">
      <xdr:nvSpPr>
        <xdr:cNvPr id="29" name="TextBox 28">
          <a:extLst>
            <a:ext uri="{FF2B5EF4-FFF2-40B4-BE49-F238E27FC236}">
              <a16:creationId xmlns:a16="http://schemas.microsoft.com/office/drawing/2014/main" id="{7324A512-6700-4CF2-A5E9-29493C1BA7CA}"/>
            </a:ext>
          </a:extLst>
        </xdr:cNvPr>
        <xdr:cNvSpPr txBox="1"/>
      </xdr:nvSpPr>
      <xdr:spPr>
        <a:xfrm>
          <a:off x="2031056" y="4139400"/>
          <a:ext cx="3298842" cy="1549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n-GB" sz="1100" b="1" i="0">
              <a:solidFill>
                <a:srgbClr val="FFFFFF"/>
              </a:solidFill>
              <a:effectLst/>
              <a:latin typeface="+mn-lt"/>
              <a:ea typeface="+mn-ea"/>
              <a:cs typeface="+mn-cs"/>
            </a:rPr>
            <a:t>Regional</a:t>
          </a:r>
          <a:r>
            <a:rPr lang="en-GB" sz="1100" b="1" i="0" baseline="0">
              <a:solidFill>
                <a:srgbClr val="FFFFFF"/>
              </a:solidFill>
              <a:effectLst/>
              <a:latin typeface="+mn-lt"/>
              <a:ea typeface="+mn-ea"/>
              <a:cs typeface="+mn-cs"/>
            </a:rPr>
            <a:t> sales analysis</a:t>
          </a:r>
          <a:endParaRPr lang="en-GB" sz="1100" b="0" i="0">
            <a:solidFill>
              <a:srgbClr val="FFFFFF"/>
            </a:solidFill>
            <a:latin typeface="+mn-lt"/>
            <a:ea typeface="+mn-ea"/>
            <a:cs typeface="+mn-cs"/>
          </a:endParaRPr>
        </a:p>
      </xdr:txBody>
    </xdr:sp>
    <xdr:clientData/>
  </xdr:twoCellAnchor>
  <xdr:twoCellAnchor>
    <xdr:from>
      <xdr:col>15</xdr:col>
      <xdr:colOff>173307</xdr:colOff>
      <xdr:row>9</xdr:row>
      <xdr:rowOff>189681</xdr:rowOff>
    </xdr:from>
    <xdr:to>
      <xdr:col>19</xdr:col>
      <xdr:colOff>65678</xdr:colOff>
      <xdr:row>11</xdr:row>
      <xdr:rowOff>33030</xdr:rowOff>
    </xdr:to>
    <xdr:sp macro="" textlink="">
      <xdr:nvSpPr>
        <xdr:cNvPr id="30" name="TextBox 29">
          <a:extLst>
            <a:ext uri="{FF2B5EF4-FFF2-40B4-BE49-F238E27FC236}">
              <a16:creationId xmlns:a16="http://schemas.microsoft.com/office/drawing/2014/main" id="{0EFD65FC-56C2-45C7-9A50-54EA498A9A05}"/>
            </a:ext>
          </a:extLst>
        </xdr:cNvPr>
        <xdr:cNvSpPr txBox="1"/>
      </xdr:nvSpPr>
      <xdr:spPr>
        <a:xfrm>
          <a:off x="9284177" y="1929029"/>
          <a:ext cx="2321936" cy="229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n-GB" sz="1100" b="1" i="0">
              <a:solidFill>
                <a:srgbClr val="FFFFFF"/>
              </a:solidFill>
              <a:effectLst/>
              <a:latin typeface="+mn-lt"/>
              <a:ea typeface="+mn-ea"/>
              <a:cs typeface="+mn-cs"/>
            </a:rPr>
            <a:t>Customers</a:t>
          </a:r>
          <a:r>
            <a:rPr lang="en-GB" sz="1100" b="1" i="0" baseline="0">
              <a:solidFill>
                <a:srgbClr val="FFFFFF"/>
              </a:solidFill>
              <a:effectLst/>
              <a:latin typeface="+mn-lt"/>
              <a:ea typeface="+mn-ea"/>
              <a:cs typeface="+mn-cs"/>
            </a:rPr>
            <a:t> Segment Performance</a:t>
          </a:r>
          <a:endParaRPr lang="en-GB" sz="1100" b="0" i="0">
            <a:solidFill>
              <a:srgbClr val="FFFFFF"/>
            </a:solidFill>
            <a:latin typeface="+mn-lt"/>
            <a:ea typeface="+mn-ea"/>
            <a:cs typeface="+mn-cs"/>
          </a:endParaRPr>
        </a:p>
      </xdr:txBody>
    </xdr:sp>
    <xdr:clientData/>
  </xdr:twoCellAnchor>
  <xdr:twoCellAnchor>
    <xdr:from>
      <xdr:col>3</xdr:col>
      <xdr:colOff>285737</xdr:colOff>
      <xdr:row>12</xdr:row>
      <xdr:rowOff>134188</xdr:rowOff>
    </xdr:from>
    <xdr:to>
      <xdr:col>6</xdr:col>
      <xdr:colOff>271822</xdr:colOff>
      <xdr:row>13</xdr:row>
      <xdr:rowOff>174174</xdr:rowOff>
    </xdr:to>
    <xdr:sp macro="" textlink="">
      <xdr:nvSpPr>
        <xdr:cNvPr id="31" name="TextBox 30">
          <a:extLst>
            <a:ext uri="{FF2B5EF4-FFF2-40B4-BE49-F238E27FC236}">
              <a16:creationId xmlns:a16="http://schemas.microsoft.com/office/drawing/2014/main" id="{F560FCCD-B749-4404-8B03-2A5FEB9C754D}"/>
            </a:ext>
          </a:extLst>
        </xdr:cNvPr>
        <xdr:cNvSpPr txBox="1"/>
      </xdr:nvSpPr>
      <xdr:spPr>
        <a:xfrm>
          <a:off x="2117468" y="2478803"/>
          <a:ext cx="1817816" cy="235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n-GB" sz="1050" b="1" i="0">
              <a:solidFill>
                <a:srgbClr val="FFFFFF"/>
              </a:solidFill>
              <a:effectLst/>
              <a:latin typeface="+mn-lt"/>
              <a:ea typeface="+mn-ea"/>
              <a:cs typeface="+mn-cs"/>
            </a:rPr>
            <a:t>Sales</a:t>
          </a:r>
          <a:r>
            <a:rPr lang="en-GB" sz="1050" b="1" i="0" baseline="0">
              <a:solidFill>
                <a:srgbClr val="FFFFFF"/>
              </a:solidFill>
              <a:effectLst/>
              <a:latin typeface="+mn-lt"/>
              <a:ea typeface="+mn-ea"/>
              <a:cs typeface="+mn-cs"/>
            </a:rPr>
            <a:t>  Comparison</a:t>
          </a:r>
          <a:endParaRPr lang="en-GB" sz="1050" b="0" i="0">
            <a:solidFill>
              <a:srgbClr val="FFFFFF"/>
            </a:solidFill>
            <a:latin typeface="+mn-lt"/>
            <a:ea typeface="+mn-ea"/>
            <a:cs typeface="+mn-cs"/>
          </a:endParaRPr>
        </a:p>
      </xdr:txBody>
    </xdr:sp>
    <xdr:clientData/>
  </xdr:twoCellAnchor>
  <xdr:twoCellAnchor>
    <xdr:from>
      <xdr:col>14</xdr:col>
      <xdr:colOff>465269</xdr:colOff>
      <xdr:row>21</xdr:row>
      <xdr:rowOff>148306</xdr:rowOff>
    </xdr:from>
    <xdr:to>
      <xdr:col>20</xdr:col>
      <xdr:colOff>96399</xdr:colOff>
      <xdr:row>22</xdr:row>
      <xdr:rowOff>113885</xdr:rowOff>
    </xdr:to>
    <xdr:sp macro="" textlink="mTrend">
      <xdr:nvSpPr>
        <xdr:cNvPr id="32" name="TextBox 31">
          <a:extLst>
            <a:ext uri="{FF2B5EF4-FFF2-40B4-BE49-F238E27FC236}">
              <a16:creationId xmlns:a16="http://schemas.microsoft.com/office/drawing/2014/main" id="{38F898CF-745C-485D-8BD5-D9F387225A45}"/>
            </a:ext>
          </a:extLst>
        </xdr:cNvPr>
        <xdr:cNvSpPr txBox="1"/>
      </xdr:nvSpPr>
      <xdr:spPr>
        <a:xfrm>
          <a:off x="8968747" y="4206784"/>
          <a:ext cx="3275478" cy="158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fld id="{76A7FA52-15E0-46EE-A1EA-597D9BB9AC18}" type="TxLink">
            <a:rPr lang="en-US" sz="1050" b="0" i="0" u="none" strike="noStrike">
              <a:solidFill>
                <a:srgbClr val="ADB8D4"/>
              </a:solidFill>
              <a:effectLst/>
              <a:latin typeface="Calibri"/>
              <a:ea typeface="+mn-ea"/>
              <a:cs typeface="Calibri"/>
            </a:rPr>
            <a:pPr marL="0" marR="0" lvl="0" indent="0" defTabSz="914400" eaLnBrk="1" fontAlgn="auto" latinLnBrk="0" hangingPunct="1">
              <a:lnSpc>
                <a:spcPct val="100000"/>
              </a:lnSpc>
              <a:spcBef>
                <a:spcPts val="0"/>
              </a:spcBef>
              <a:spcAft>
                <a:spcPts val="0"/>
              </a:spcAft>
              <a:buClrTx/>
              <a:buSzTx/>
              <a:buFontTx/>
              <a:buNone/>
              <a:tabLst/>
              <a:defRPr/>
            </a:pPr>
            <a:t>Peak Sales Month: Grand Total with $84,893 in Sales</a:t>
          </a:fld>
          <a:endParaRPr lang="en-GB" sz="1050" b="0" i="0" u="none" strike="noStrike">
            <a:solidFill>
              <a:srgbClr val="ADB8D4"/>
            </a:solidFill>
            <a:effectLst/>
            <a:latin typeface="Calibri"/>
            <a:ea typeface="+mn-ea"/>
            <a:cs typeface="Calibri"/>
          </a:endParaRPr>
        </a:p>
      </xdr:txBody>
    </xdr:sp>
    <xdr:clientData/>
  </xdr:twoCellAnchor>
  <xdr:twoCellAnchor>
    <xdr:from>
      <xdr:col>3</xdr:col>
      <xdr:colOff>201526</xdr:colOff>
      <xdr:row>22</xdr:row>
      <xdr:rowOff>63060</xdr:rowOff>
    </xdr:from>
    <xdr:to>
      <xdr:col>8</xdr:col>
      <xdr:colOff>447484</xdr:colOff>
      <xdr:row>23</xdr:row>
      <xdr:rowOff>22667</xdr:rowOff>
    </xdr:to>
    <xdr:sp macro="" textlink="Rtrend">
      <xdr:nvSpPr>
        <xdr:cNvPr id="33" name="TextBox 32">
          <a:extLst>
            <a:ext uri="{FF2B5EF4-FFF2-40B4-BE49-F238E27FC236}">
              <a16:creationId xmlns:a16="http://schemas.microsoft.com/office/drawing/2014/main" id="{1234D986-F0ED-43D4-A83B-FE6DF3297D2C}"/>
            </a:ext>
          </a:extLst>
        </xdr:cNvPr>
        <xdr:cNvSpPr txBox="1"/>
      </xdr:nvSpPr>
      <xdr:spPr>
        <a:xfrm>
          <a:off x="2033257" y="4361522"/>
          <a:ext cx="3298842" cy="1549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fld id="{7829D110-27E8-44DA-9622-7CE276B1FE05}" type="TxLink">
            <a:rPr lang="en-US" sz="1050" b="0" i="0" u="none" strike="noStrike">
              <a:solidFill>
                <a:srgbClr val="ADB8D4"/>
              </a:solidFill>
              <a:effectLst/>
              <a:latin typeface="Calibri"/>
              <a:ea typeface="+mn-ea"/>
              <a:cs typeface="Calibri"/>
            </a:rPr>
            <a:pPr marL="0" marR="0" lvl="0" indent="0" defTabSz="914400" eaLnBrk="1" fontAlgn="auto" latinLnBrk="0" hangingPunct="1">
              <a:lnSpc>
                <a:spcPct val="100000"/>
              </a:lnSpc>
              <a:spcBef>
                <a:spcPts val="0"/>
              </a:spcBef>
              <a:spcAft>
                <a:spcPts val="0"/>
              </a:spcAft>
              <a:buClrTx/>
              <a:buSzTx/>
              <a:buFontTx/>
              <a:buNone/>
              <a:tabLst/>
              <a:defRPr/>
            </a:pPr>
            <a:t>Peak Regional sales: Africa with $22,154 in Sales</a:t>
          </a:fld>
          <a:endParaRPr lang="en-GB" sz="1050" b="0" i="0" u="none" strike="noStrike">
            <a:solidFill>
              <a:srgbClr val="ADB8D4"/>
            </a:solidFill>
            <a:effectLst/>
            <a:latin typeface="Calibri"/>
            <a:ea typeface="+mn-ea"/>
            <a:cs typeface="Calibri"/>
          </a:endParaRPr>
        </a:p>
      </xdr:txBody>
    </xdr:sp>
    <xdr:clientData/>
  </xdr:twoCellAnchor>
  <xdr:twoCellAnchor editAs="oneCell">
    <xdr:from>
      <xdr:col>7</xdr:col>
      <xdr:colOff>512446</xdr:colOff>
      <xdr:row>11</xdr:row>
      <xdr:rowOff>2257</xdr:rowOff>
    </xdr:from>
    <xdr:to>
      <xdr:col>15</xdr:col>
      <xdr:colOff>169095</xdr:colOff>
      <xdr:row>34</xdr:row>
      <xdr:rowOff>141572</xdr:rowOff>
    </xdr:to>
    <xdr:pic>
      <xdr:nvPicPr>
        <xdr:cNvPr id="34" name="Picture 33">
          <a:extLst>
            <a:ext uri="{FF2B5EF4-FFF2-40B4-BE49-F238E27FC236}">
              <a16:creationId xmlns:a16="http://schemas.microsoft.com/office/drawing/2014/main" id="{65BDC06B-B6C7-4DC7-97DD-3DCAA621213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4764185" y="2128127"/>
          <a:ext cx="4515780" cy="4584315"/>
        </a:xfrm>
        <a:prstGeom prst="rect">
          <a:avLst/>
        </a:prstGeom>
        <a:noFill/>
        <a:ln w="9525" cmpd="sng">
          <a:noFill/>
        </a:ln>
        <a:effectLst>
          <a:outerShdw blurRad="50800" dist="38100" dir="5400000" algn="t" rotWithShape="0">
            <a:srgbClr val="0061E6">
              <a:alpha val="40000"/>
            </a:srgbClr>
          </a:outerShdw>
        </a:effectLst>
      </xdr:spPr>
    </xdr:pic>
    <xdr:clientData/>
  </xdr:twoCellAnchor>
  <xdr:twoCellAnchor editAs="oneCell">
    <xdr:from>
      <xdr:col>14</xdr:col>
      <xdr:colOff>245917</xdr:colOff>
      <xdr:row>5</xdr:row>
      <xdr:rowOff>6504</xdr:rowOff>
    </xdr:from>
    <xdr:to>
      <xdr:col>20</xdr:col>
      <xdr:colOff>110435</xdr:colOff>
      <xdr:row>7</xdr:row>
      <xdr:rowOff>97642</xdr:rowOff>
    </xdr:to>
    <mc:AlternateContent xmlns:mc="http://schemas.openxmlformats.org/markup-compatibility/2006">
      <mc:Choice xmlns:a14="http://schemas.microsoft.com/office/drawing/2010/main" Requires="a14">
        <xdr:graphicFrame macro="">
          <xdr:nvGraphicFramePr>
            <xdr:cNvPr id="35" name="Console Brand 1">
              <a:extLst>
                <a:ext uri="{FF2B5EF4-FFF2-40B4-BE49-F238E27FC236}">
                  <a16:creationId xmlns:a16="http://schemas.microsoft.com/office/drawing/2014/main" id="{85AA8B00-5888-41A3-A1F0-19E85DAA2E95}"/>
                </a:ext>
              </a:extLst>
            </xdr:cNvPr>
            <xdr:cNvGraphicFramePr/>
          </xdr:nvGraphicFramePr>
          <xdr:xfrm>
            <a:off x="0" y="0"/>
            <a:ext cx="0" cy="0"/>
          </xdr:xfrm>
          <a:graphic>
            <a:graphicData uri="http://schemas.microsoft.com/office/drawing/2010/slicer">
              <sle:slicer xmlns:sle="http://schemas.microsoft.com/office/drawing/2010/slicer" name="Console Brand 1"/>
            </a:graphicData>
          </a:graphic>
        </xdr:graphicFrame>
      </mc:Choice>
      <mc:Fallback>
        <xdr:sp macro="" textlink="">
          <xdr:nvSpPr>
            <xdr:cNvPr id="0" name=""/>
            <xdr:cNvSpPr>
              <a:spLocks noTextEdit="1"/>
            </xdr:cNvSpPr>
          </xdr:nvSpPr>
          <xdr:spPr>
            <a:xfrm>
              <a:off x="8697678" y="945589"/>
              <a:ext cx="3486701" cy="4667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124239</xdr:colOff>
      <xdr:row>23</xdr:row>
      <xdr:rowOff>82826</xdr:rowOff>
    </xdr:from>
    <xdr:to>
      <xdr:col>8</xdr:col>
      <xdr:colOff>510761</xdr:colOff>
      <xdr:row>33</xdr:row>
      <xdr:rowOff>55217</xdr:rowOff>
    </xdr:to>
    <xdr:graphicFrame macro="">
      <xdr:nvGraphicFramePr>
        <xdr:cNvPr id="36" name="Chart 35">
          <a:extLst>
            <a:ext uri="{FF2B5EF4-FFF2-40B4-BE49-F238E27FC236}">
              <a16:creationId xmlns:a16="http://schemas.microsoft.com/office/drawing/2014/main" id="{54570CED-2A05-4273-BE95-2BA7360D68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55217</xdr:colOff>
      <xdr:row>2</xdr:row>
      <xdr:rowOff>82827</xdr:rowOff>
    </xdr:from>
    <xdr:to>
      <xdr:col>2</xdr:col>
      <xdr:colOff>571684</xdr:colOff>
      <xdr:row>33</xdr:row>
      <xdr:rowOff>138044</xdr:rowOff>
    </xdr:to>
    <xdr:sp macro="" textlink="">
      <xdr:nvSpPr>
        <xdr:cNvPr id="37" name="Rectangle: Rounded Corners 36">
          <a:extLst>
            <a:ext uri="{FF2B5EF4-FFF2-40B4-BE49-F238E27FC236}">
              <a16:creationId xmlns:a16="http://schemas.microsoft.com/office/drawing/2014/main" id="{563E0A57-851D-497B-B1C5-FAD1CC7F961F}"/>
            </a:ext>
          </a:extLst>
        </xdr:cNvPr>
        <xdr:cNvSpPr/>
      </xdr:nvSpPr>
      <xdr:spPr>
        <a:xfrm>
          <a:off x="1270000" y="469349"/>
          <a:ext cx="516467" cy="6046304"/>
        </a:xfrm>
        <a:prstGeom prst="roundRect">
          <a:avLst>
            <a:gd name="adj" fmla="val 28143"/>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2</xdr:col>
      <xdr:colOff>197264</xdr:colOff>
      <xdr:row>18</xdr:row>
      <xdr:rowOff>87242</xdr:rowOff>
    </xdr:from>
    <xdr:to>
      <xdr:col>2</xdr:col>
      <xdr:colOff>465321</xdr:colOff>
      <xdr:row>19</xdr:row>
      <xdr:rowOff>183341</xdr:rowOff>
    </xdr:to>
    <xdr:pic>
      <xdr:nvPicPr>
        <xdr:cNvPr id="38" name="Picture 37">
          <a:hlinkClick xmlns:r="http://schemas.openxmlformats.org/officeDocument/2006/relationships" r:id="rId13"/>
          <a:extLst>
            <a:ext uri="{FF2B5EF4-FFF2-40B4-BE49-F238E27FC236}">
              <a16:creationId xmlns:a16="http://schemas.microsoft.com/office/drawing/2014/main" id="{C7B2D0F1-9253-4680-98E8-C632EC80A100}"/>
            </a:ext>
          </a:extLst>
        </xdr:cNvPr>
        <xdr:cNvPicPr>
          <a:picLocks noChangeAspect="1"/>
        </xdr:cNvPicPr>
      </xdr:nvPicPr>
      <xdr:blipFill>
        <a:blip xmlns:r="http://schemas.openxmlformats.org/officeDocument/2006/relationships" r:embed="rId14">
          <a:duotone>
            <a:prstClr val="black"/>
            <a:schemeClr val="tx2">
              <a:tint val="45000"/>
              <a:satMod val="400000"/>
            </a:schemeClr>
          </a:duotone>
          <a:extLst>
            <a:ext uri="{BEBA8EAE-BF5A-486C-A8C5-ECC9F3942E4B}">
              <a14:imgProps xmlns:a14="http://schemas.microsoft.com/office/drawing/2010/main">
                <a14:imgLayer r:embed="rId15">
                  <a14:imgEffect>
                    <a14:colorTemperature colorTemp="4700"/>
                  </a14:imgEffect>
                </a14:imgLayer>
              </a14:imgProps>
            </a:ext>
            <a:ext uri="{28A0092B-C50C-407E-A947-70E740481C1C}">
              <a14:useLocalDpi xmlns:a14="http://schemas.microsoft.com/office/drawing/2010/main" val="0"/>
            </a:ext>
          </a:extLst>
        </a:blip>
        <a:stretch>
          <a:fillRect/>
        </a:stretch>
      </xdr:blipFill>
      <xdr:spPr>
        <a:xfrm>
          <a:off x="1412047" y="3565938"/>
          <a:ext cx="268057" cy="289360"/>
        </a:xfrm>
        <a:prstGeom prst="rect">
          <a:avLst/>
        </a:prstGeom>
      </xdr:spPr>
    </xdr:pic>
    <xdr:clientData/>
  </xdr:twoCellAnchor>
  <xdr:twoCellAnchor editAs="oneCell">
    <xdr:from>
      <xdr:col>2</xdr:col>
      <xdr:colOff>197264</xdr:colOff>
      <xdr:row>11</xdr:row>
      <xdr:rowOff>114679</xdr:rowOff>
    </xdr:from>
    <xdr:to>
      <xdr:col>2</xdr:col>
      <xdr:colOff>469576</xdr:colOff>
      <xdr:row>13</xdr:row>
      <xdr:rowOff>12408</xdr:rowOff>
    </xdr:to>
    <xdr:pic>
      <xdr:nvPicPr>
        <xdr:cNvPr id="39" name="Picture 38">
          <a:hlinkClick xmlns:r="http://schemas.openxmlformats.org/officeDocument/2006/relationships" r:id="rId16"/>
          <a:extLst>
            <a:ext uri="{FF2B5EF4-FFF2-40B4-BE49-F238E27FC236}">
              <a16:creationId xmlns:a16="http://schemas.microsoft.com/office/drawing/2014/main" id="{75E4B2B1-B07E-4F7C-8947-24F677234C03}"/>
            </a:ext>
          </a:extLst>
        </xdr:cNvPr>
        <xdr:cNvPicPr>
          <a:picLocks noChangeAspect="1"/>
        </xdr:cNvPicPr>
      </xdr:nvPicPr>
      <xdr:blipFill>
        <a:blip xmlns:r="http://schemas.openxmlformats.org/officeDocument/2006/relationships" r:embed="rId17">
          <a:duotone>
            <a:prstClr val="black"/>
            <a:schemeClr val="tx2">
              <a:tint val="45000"/>
              <a:satMod val="400000"/>
            </a:schemeClr>
          </a:duotone>
          <a:extLst>
            <a:ext uri="{BEBA8EAE-BF5A-486C-A8C5-ECC9F3942E4B}">
              <a14:imgProps xmlns:a14="http://schemas.microsoft.com/office/drawing/2010/main">
                <a14:imgLayer r:embed="rId18">
                  <a14:imgEffect>
                    <a14:colorTemperature colorTemp="4700"/>
                  </a14:imgEffect>
                </a14:imgLayer>
              </a14:imgProps>
            </a:ext>
            <a:ext uri="{28A0092B-C50C-407E-A947-70E740481C1C}">
              <a14:useLocalDpi xmlns:a14="http://schemas.microsoft.com/office/drawing/2010/main" val="0"/>
            </a:ext>
          </a:extLst>
        </a:blip>
        <a:stretch>
          <a:fillRect/>
        </a:stretch>
      </xdr:blipFill>
      <xdr:spPr>
        <a:xfrm>
          <a:off x="1412047" y="2240549"/>
          <a:ext cx="272312" cy="284250"/>
        </a:xfrm>
        <a:prstGeom prst="rect">
          <a:avLst/>
        </a:prstGeom>
      </xdr:spPr>
    </xdr:pic>
    <xdr:clientData/>
  </xdr:twoCellAnchor>
  <xdr:twoCellAnchor editAs="oneCell">
    <xdr:from>
      <xdr:col>2</xdr:col>
      <xdr:colOff>197264</xdr:colOff>
      <xdr:row>25</xdr:row>
      <xdr:rowOff>62071</xdr:rowOff>
    </xdr:from>
    <xdr:to>
      <xdr:col>2</xdr:col>
      <xdr:colOff>449135</xdr:colOff>
      <xdr:row>26</xdr:row>
      <xdr:rowOff>140416</xdr:rowOff>
    </xdr:to>
    <xdr:pic>
      <xdr:nvPicPr>
        <xdr:cNvPr id="40" name="Picture 39">
          <a:extLst>
            <a:ext uri="{FF2B5EF4-FFF2-40B4-BE49-F238E27FC236}">
              <a16:creationId xmlns:a16="http://schemas.microsoft.com/office/drawing/2014/main" id="{0BEC12F3-4810-4C4A-8DE3-672F8F481F44}"/>
            </a:ext>
          </a:extLst>
        </xdr:cNvPr>
        <xdr:cNvPicPr>
          <a:picLocks noChangeAspect="1"/>
        </xdr:cNvPicPr>
      </xdr:nvPicPr>
      <xdr:blipFill>
        <a:blip xmlns:r="http://schemas.openxmlformats.org/officeDocument/2006/relationships" r:embed="rId19" cstate="print">
          <a:duotone>
            <a:prstClr val="black"/>
            <a:schemeClr val="tx2">
              <a:tint val="45000"/>
              <a:satMod val="400000"/>
            </a:schemeClr>
          </a:duotone>
          <a:extLst>
            <a:ext uri="{BEBA8EAE-BF5A-486C-A8C5-ECC9F3942E4B}">
              <a14:imgProps xmlns:a14="http://schemas.microsoft.com/office/drawing/2010/main">
                <a14:imgLayer r:embed="rId20">
                  <a14:imgEffect>
                    <a14:colorTemperature colorTemp="4700"/>
                  </a14:imgEffect>
                </a14:imgLayer>
              </a14:imgProps>
            </a:ext>
            <a:ext uri="{28A0092B-C50C-407E-A947-70E740481C1C}">
              <a14:useLocalDpi xmlns:a14="http://schemas.microsoft.com/office/drawing/2010/main" val="0"/>
            </a:ext>
          </a:extLst>
        </a:blip>
        <a:stretch>
          <a:fillRect/>
        </a:stretch>
      </xdr:blipFill>
      <xdr:spPr>
        <a:xfrm>
          <a:off x="1412047" y="4893593"/>
          <a:ext cx="251871" cy="271606"/>
        </a:xfrm>
        <a:prstGeom prst="rect">
          <a:avLst/>
        </a:prstGeom>
      </xdr:spPr>
    </xdr:pic>
    <xdr:clientData/>
  </xdr:twoCellAnchor>
  <xdr:twoCellAnchor editAs="oneCell">
    <xdr:from>
      <xdr:col>2</xdr:col>
      <xdr:colOff>197264</xdr:colOff>
      <xdr:row>4</xdr:row>
      <xdr:rowOff>164438</xdr:rowOff>
    </xdr:from>
    <xdr:to>
      <xdr:col>2</xdr:col>
      <xdr:colOff>440273</xdr:colOff>
      <xdr:row>6</xdr:row>
      <xdr:rowOff>40660</xdr:rowOff>
    </xdr:to>
    <xdr:pic>
      <xdr:nvPicPr>
        <xdr:cNvPr id="41" name="Picture 40">
          <a:hlinkClick xmlns:r="http://schemas.openxmlformats.org/officeDocument/2006/relationships" r:id="rId21"/>
          <a:extLst>
            <a:ext uri="{FF2B5EF4-FFF2-40B4-BE49-F238E27FC236}">
              <a16:creationId xmlns:a16="http://schemas.microsoft.com/office/drawing/2014/main" id="{28560CDE-CEAF-4580-9FFB-CADC5172CAFA}"/>
            </a:ext>
          </a:extLst>
        </xdr:cNvPr>
        <xdr:cNvPicPr>
          <a:picLocks noChangeAspect="1"/>
        </xdr:cNvPicPr>
      </xdr:nvPicPr>
      <xdr:blipFill>
        <a:blip xmlns:r="http://schemas.openxmlformats.org/officeDocument/2006/relationships" r:embed="rId22" cstate="print">
          <a:duotone>
            <a:prstClr val="black"/>
            <a:schemeClr val="tx2">
              <a:tint val="45000"/>
              <a:satMod val="400000"/>
            </a:schemeClr>
          </a:duotone>
          <a:extLst>
            <a:ext uri="{BEBA8EAE-BF5A-486C-A8C5-ECC9F3942E4B}">
              <a14:imgProps xmlns:a14="http://schemas.microsoft.com/office/drawing/2010/main">
                <a14:imgLayer r:embed="rId23">
                  <a14:imgEffect>
                    <a14:colorTemperature colorTemp="4700"/>
                  </a14:imgEffect>
                </a14:imgLayer>
              </a14:imgProps>
            </a:ext>
            <a:ext uri="{28A0092B-C50C-407E-A947-70E740481C1C}">
              <a14:useLocalDpi xmlns:a14="http://schemas.microsoft.com/office/drawing/2010/main" val="0"/>
            </a:ext>
          </a:extLst>
        </a:blip>
        <a:stretch>
          <a:fillRect/>
        </a:stretch>
      </xdr:blipFill>
      <xdr:spPr>
        <a:xfrm>
          <a:off x="1412047" y="937481"/>
          <a:ext cx="243009" cy="26274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DELL\Downloads\Gaming%20console%20dashboard\GAMING.xlsx" TargetMode="External"/><Relationship Id="rId1" Type="http://schemas.openxmlformats.org/officeDocument/2006/relationships/externalLinkPath" Target="GAMI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 (2)"/>
      <sheetName val="PIVOT"/>
      <sheetName val="Gaming_Console_Sales"/>
      <sheetName val="DASHBOARD"/>
    </sheetNames>
    <sheetDataSet>
      <sheetData sheetId="0"/>
      <sheetData sheetId="1">
        <row r="4">
          <cell r="G4">
            <v>15697375</v>
          </cell>
        </row>
        <row r="6">
          <cell r="G6">
            <v>49829400</v>
          </cell>
        </row>
        <row r="9">
          <cell r="A9" t="str">
            <v>Peak Sales Month: Dec with $25,957 in Sales</v>
          </cell>
        </row>
        <row r="10">
          <cell r="G10" t="str">
            <v>Peak Regional sales: Europe with $60,552 in Sales</v>
          </cell>
        </row>
      </sheetData>
      <sheetData sheetId="2"/>
      <sheetData sheetId="3"/>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86.978508217595" createdVersion="8" refreshedVersion="8" minRefreshableVersion="3" recordCount="100" xr:uid="{3C9313C8-E1D6-487C-B565-3263FE506046}">
  <cacheSource type="worksheet">
    <worksheetSource name="Gaming_Console_Dataset"/>
  </cacheSource>
  <cacheFields count="12">
    <cacheField name="Date" numFmtId="14">
      <sharedItems containsSemiMixedTypes="0" containsNonDate="0" containsDate="1" containsString="0" minDate="2024-01-01T00:00:00" maxDate="2025-01-01T00:00:00" count="100">
        <d v="2024-01-01T00:00:00"/>
        <d v="2024-01-04T00:00:00"/>
        <d v="2024-01-08T00:00:00"/>
        <d v="2024-01-12T00:00:00"/>
        <d v="2024-01-15T00:00:00"/>
        <d v="2024-01-19T00:00:00"/>
        <d v="2024-01-23T00:00:00"/>
        <d v="2024-01-26T00:00:00"/>
        <d v="2024-01-30T00:00:00"/>
        <d v="2024-02-03T00:00:00"/>
        <d v="2024-02-06T00:00:00"/>
        <d v="2024-02-10T00:00:00"/>
        <d v="2024-02-14T00:00:00"/>
        <d v="2024-02-17T00:00:00"/>
        <d v="2024-02-21T00:00:00"/>
        <d v="2024-02-25T00:00:00"/>
        <d v="2024-02-28T00:00:00"/>
        <d v="2024-03-04T00:00:00"/>
        <d v="2024-03-08T00:00:00"/>
        <d v="2024-03-11T00:00:00"/>
        <d v="2024-03-15T00:00:00"/>
        <d v="2024-03-19T00:00:00"/>
        <d v="2024-03-22T00:00:00"/>
        <d v="2024-03-26T00:00:00"/>
        <d v="2024-03-30T00:00:00"/>
        <d v="2024-04-02T00:00:00"/>
        <d v="2024-04-06T00:00:00"/>
        <d v="2024-04-10T00:00:00"/>
        <d v="2024-04-13T00:00:00"/>
        <d v="2024-04-17T00:00:00"/>
        <d v="2024-04-21T00:00:00"/>
        <d v="2024-04-24T00:00:00"/>
        <d v="2024-04-28T00:00:00"/>
        <d v="2024-05-02T00:00:00"/>
        <d v="2024-05-06T00:00:00"/>
        <d v="2024-05-09T00:00:00"/>
        <d v="2024-05-13T00:00:00"/>
        <d v="2024-05-17T00:00:00"/>
        <d v="2024-05-20T00:00:00"/>
        <d v="2024-05-24T00:00:00"/>
        <d v="2024-05-28T00:00:00"/>
        <d v="2024-05-31T00:00:00"/>
        <d v="2024-06-04T00:00:00"/>
        <d v="2024-06-08T00:00:00"/>
        <d v="2024-06-11T00:00:00"/>
        <d v="2024-06-15T00:00:00"/>
        <d v="2024-06-19T00:00:00"/>
        <d v="2024-06-22T00:00:00"/>
        <d v="2024-06-26T00:00:00"/>
        <d v="2024-06-30T00:00:00"/>
        <d v="2024-07-03T00:00:00"/>
        <d v="2024-07-07T00:00:00"/>
        <d v="2024-07-11T00:00:00"/>
        <d v="2024-07-14T00:00:00"/>
        <d v="2024-07-18T00:00:00"/>
        <d v="2024-07-22T00:00:00"/>
        <d v="2024-07-25T00:00:00"/>
        <d v="2024-07-29T00:00:00"/>
        <d v="2024-08-02T00:00:00"/>
        <d v="2024-08-05T00:00:00"/>
        <d v="2024-08-09T00:00:00"/>
        <d v="2024-08-13T00:00:00"/>
        <d v="2024-08-16T00:00:00"/>
        <d v="2024-08-20T00:00:00"/>
        <d v="2024-08-24T00:00:00"/>
        <d v="2024-08-27T00:00:00"/>
        <d v="2024-08-31T00:00:00"/>
        <d v="2024-09-04T00:00:00"/>
        <d v="2024-09-08T00:00:00"/>
        <d v="2024-09-11T00:00:00"/>
        <d v="2024-09-15T00:00:00"/>
        <d v="2024-09-19T00:00:00"/>
        <d v="2024-09-22T00:00:00"/>
        <d v="2024-09-26T00:00:00"/>
        <d v="2024-09-30T00:00:00"/>
        <d v="2024-10-03T00:00:00"/>
        <d v="2024-10-07T00:00:00"/>
        <d v="2024-10-11T00:00:00"/>
        <d v="2024-10-14T00:00:00"/>
        <d v="2024-10-18T00:00:00"/>
        <d v="2024-10-22T00:00:00"/>
        <d v="2024-10-25T00:00:00"/>
        <d v="2024-10-29T00:00:00"/>
        <d v="2024-11-02T00:00:00"/>
        <d v="2024-11-05T00:00:00"/>
        <d v="2024-11-09T00:00:00"/>
        <d v="2024-11-13T00:00:00"/>
        <d v="2024-11-16T00:00:00"/>
        <d v="2024-11-20T00:00:00"/>
        <d v="2024-11-24T00:00:00"/>
        <d v="2024-11-27T00:00:00"/>
        <d v="2024-12-01T00:00:00"/>
        <d v="2024-12-05T00:00:00"/>
        <d v="2024-12-08T00:00:00"/>
        <d v="2024-12-12T00:00:00"/>
        <d v="2024-12-16T00:00:00"/>
        <d v="2024-12-19T00:00:00"/>
        <d v="2024-12-23T00:00:00"/>
        <d v="2024-12-27T00:00:00"/>
        <d v="2024-12-31T00:00:00"/>
      </sharedItems>
      <fieldGroup par="11"/>
    </cacheField>
    <cacheField name="Console Brand" numFmtId="0">
      <sharedItems count="3">
        <s v="Nintendo Switch"/>
        <s v="PlayStation 5"/>
        <s v="Xbox Series X"/>
      </sharedItems>
    </cacheField>
    <cacheField name="Units Sold" numFmtId="0">
      <sharedItems containsSemiMixedTypes="0" containsString="0" containsNumber="1" containsInteger="1" minValue="134" maxValue="4987"/>
    </cacheField>
    <cacheField name="Revenue ($)" numFmtId="0">
      <sharedItems containsSemiMixedTypes="0" containsString="0" containsNumber="1" containsInteger="1" minValue="12693" maxValue="298880"/>
    </cacheField>
    <cacheField name="Region" numFmtId="0">
      <sharedItems count="5">
        <s v="Africa"/>
        <s v="Europe"/>
        <s v="Asia"/>
        <s v="North America"/>
        <s v="South America"/>
      </sharedItems>
    </cacheField>
    <cacheField name="Customer Segment" numFmtId="0">
      <sharedItems count="4">
        <s v="Adult"/>
        <s v="Hardcore Gamer"/>
        <s v="Casual Gamer"/>
        <s v="Teen"/>
      </sharedItems>
    </cacheField>
    <cacheField name="Sales Channel" numFmtId="0">
      <sharedItems count="2">
        <s v="Retail"/>
        <s v="Online"/>
      </sharedItems>
    </cacheField>
    <cacheField name="Marketing Budget ($)" numFmtId="0">
      <sharedItems containsSemiMixedTypes="0" containsString="0" containsNumber="1" containsInteger="1" minValue="2154" maxValue="49404"/>
    </cacheField>
    <cacheField name="Return Rate (%)" numFmtId="0">
      <sharedItems containsSemiMixedTypes="0" containsString="0" containsNumber="1" minValue="0.55000000000000004" maxValue="9.9499999999999993"/>
    </cacheField>
    <cacheField name="Product Cost ($)" numFmtId="0">
      <sharedItems containsSemiMixedTypes="0" containsString="0" containsNumber="1" containsInteger="1" minValue="26800" maxValue="997400"/>
    </cacheField>
    <cacheField name="Days (Date)" numFmtId="0" databaseField="0">
      <fieldGroup base="0">
        <rangePr groupBy="days" startDate="2024-01-01T00:00:00" endDate="2025-01-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5"/>
        </groupItems>
      </fieldGroup>
    </cacheField>
    <cacheField name="Months (Date)" numFmtId="0" databaseField="0">
      <fieldGroup base="0">
        <rangePr groupBy="months" startDate="2024-01-01T00:00:00" endDate="2025-01-01T00:00:00"/>
        <groupItems count="14">
          <s v="&lt;01-01-2024"/>
          <s v="Jan"/>
          <s v="Feb"/>
          <s v="Mar"/>
          <s v="Apr"/>
          <s v="May"/>
          <s v="Jun"/>
          <s v="Jul"/>
          <s v="Aug"/>
          <s v="Sep"/>
          <s v="Oct"/>
          <s v="Nov"/>
          <s v="Dec"/>
          <s v="&gt;01-01-2025"/>
        </groupItems>
      </fieldGroup>
    </cacheField>
  </cacheFields>
  <extLst>
    <ext xmlns:x14="http://schemas.microsoft.com/office/spreadsheetml/2009/9/main" uri="{725AE2AE-9491-48be-B2B4-4EB974FC3084}">
      <x14:pivotCacheDefinition pivotCacheId="21078764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n v="960"/>
    <n v="283109"/>
    <x v="0"/>
    <x v="0"/>
    <x v="0"/>
    <n v="3911"/>
    <n v="0.91"/>
    <n v="192000"/>
  </r>
  <r>
    <x v="1"/>
    <x v="1"/>
    <n v="3872"/>
    <n v="34538"/>
    <x v="1"/>
    <x v="1"/>
    <x v="0"/>
    <n v="2734"/>
    <n v="9.9499999999999993"/>
    <n v="774400"/>
  </r>
  <r>
    <x v="2"/>
    <x v="1"/>
    <n v="3192"/>
    <n v="211664"/>
    <x v="2"/>
    <x v="2"/>
    <x v="0"/>
    <n v="19227"/>
    <n v="4.96"/>
    <n v="638400"/>
  </r>
  <r>
    <x v="3"/>
    <x v="0"/>
    <n v="566"/>
    <n v="149182"/>
    <x v="3"/>
    <x v="1"/>
    <x v="1"/>
    <n v="9680"/>
    <n v="3.16"/>
    <n v="113200"/>
  </r>
  <r>
    <x v="4"/>
    <x v="2"/>
    <n v="4526"/>
    <n v="168338"/>
    <x v="1"/>
    <x v="2"/>
    <x v="0"/>
    <n v="20360"/>
    <n v="8.89"/>
    <n v="905200"/>
  </r>
  <r>
    <x v="5"/>
    <x v="1"/>
    <n v="3544"/>
    <n v="194064"/>
    <x v="3"/>
    <x v="2"/>
    <x v="1"/>
    <n v="19343"/>
    <n v="7.6"/>
    <n v="708800"/>
  </r>
  <r>
    <x v="6"/>
    <x v="1"/>
    <n v="3271"/>
    <n v="224020"/>
    <x v="2"/>
    <x v="3"/>
    <x v="0"/>
    <n v="6759"/>
    <n v="9.5500000000000007"/>
    <n v="654200"/>
  </r>
  <r>
    <x v="7"/>
    <x v="1"/>
    <n v="3019"/>
    <n v="108806"/>
    <x v="4"/>
    <x v="0"/>
    <x v="0"/>
    <n v="24078"/>
    <n v="3.64"/>
    <n v="603800"/>
  </r>
  <r>
    <x v="8"/>
    <x v="0"/>
    <n v="230"/>
    <n v="100982"/>
    <x v="2"/>
    <x v="0"/>
    <x v="1"/>
    <n v="36153"/>
    <n v="5.75"/>
    <n v="46000"/>
  </r>
  <r>
    <x v="9"/>
    <x v="1"/>
    <n v="1785"/>
    <n v="131626"/>
    <x v="3"/>
    <x v="3"/>
    <x v="0"/>
    <n v="12111"/>
    <n v="5.94"/>
    <n v="357000"/>
  </r>
  <r>
    <x v="10"/>
    <x v="0"/>
    <n v="869"/>
    <n v="129176"/>
    <x v="1"/>
    <x v="1"/>
    <x v="0"/>
    <n v="38504"/>
    <n v="9.81"/>
    <n v="173800"/>
  </r>
  <r>
    <x v="11"/>
    <x v="0"/>
    <n v="2491"/>
    <n v="228126"/>
    <x v="0"/>
    <x v="3"/>
    <x v="0"/>
    <n v="2802"/>
    <n v="1.22"/>
    <n v="498200"/>
  </r>
  <r>
    <x v="12"/>
    <x v="0"/>
    <n v="2533"/>
    <n v="228969"/>
    <x v="2"/>
    <x v="0"/>
    <x v="1"/>
    <n v="9155"/>
    <n v="3.4"/>
    <n v="506600"/>
  </r>
  <r>
    <x v="13"/>
    <x v="1"/>
    <n v="1284"/>
    <n v="132409"/>
    <x v="1"/>
    <x v="0"/>
    <x v="1"/>
    <n v="9120"/>
    <n v="2.31"/>
    <n v="256800"/>
  </r>
  <r>
    <x v="14"/>
    <x v="0"/>
    <n v="4655"/>
    <n v="33419"/>
    <x v="4"/>
    <x v="3"/>
    <x v="0"/>
    <n v="40384"/>
    <n v="3.05"/>
    <n v="931000"/>
  </r>
  <r>
    <x v="15"/>
    <x v="2"/>
    <n v="3485"/>
    <n v="263618"/>
    <x v="4"/>
    <x v="3"/>
    <x v="1"/>
    <n v="48025"/>
    <n v="5.1100000000000003"/>
    <n v="697000"/>
  </r>
  <r>
    <x v="16"/>
    <x v="1"/>
    <n v="4217"/>
    <n v="255310"/>
    <x v="4"/>
    <x v="3"/>
    <x v="1"/>
    <n v="48254"/>
    <n v="4.04"/>
    <n v="843400"/>
  </r>
  <r>
    <x v="17"/>
    <x v="1"/>
    <n v="4943"/>
    <n v="60015"/>
    <x v="1"/>
    <x v="0"/>
    <x v="1"/>
    <n v="22918"/>
    <n v="4.25"/>
    <n v="988600"/>
  </r>
  <r>
    <x v="18"/>
    <x v="1"/>
    <n v="3004"/>
    <n v="258550"/>
    <x v="2"/>
    <x v="3"/>
    <x v="0"/>
    <n v="21445"/>
    <n v="8.52"/>
    <n v="600800"/>
  </r>
  <r>
    <x v="19"/>
    <x v="1"/>
    <n v="574"/>
    <n v="132096"/>
    <x v="1"/>
    <x v="3"/>
    <x v="1"/>
    <n v="31306"/>
    <n v="9.34"/>
    <n v="114800"/>
  </r>
  <r>
    <x v="20"/>
    <x v="1"/>
    <n v="1182"/>
    <n v="117059"/>
    <x v="1"/>
    <x v="1"/>
    <x v="0"/>
    <n v="17646"/>
    <n v="1.17"/>
    <n v="236400"/>
  </r>
  <r>
    <x v="21"/>
    <x v="0"/>
    <n v="2658"/>
    <n v="195340"/>
    <x v="0"/>
    <x v="3"/>
    <x v="1"/>
    <n v="47843"/>
    <n v="2.48"/>
    <n v="531600"/>
  </r>
  <r>
    <x v="22"/>
    <x v="0"/>
    <n v="2147"/>
    <n v="120687"/>
    <x v="0"/>
    <x v="0"/>
    <x v="1"/>
    <n v="32065"/>
    <n v="6.88"/>
    <n v="429400"/>
  </r>
  <r>
    <x v="23"/>
    <x v="1"/>
    <n v="2847"/>
    <n v="221428"/>
    <x v="2"/>
    <x v="1"/>
    <x v="0"/>
    <n v="26199"/>
    <n v="3.91"/>
    <n v="569400"/>
  </r>
  <r>
    <x v="24"/>
    <x v="0"/>
    <n v="1075"/>
    <n v="115878"/>
    <x v="0"/>
    <x v="2"/>
    <x v="0"/>
    <n v="42976"/>
    <n v="2.91"/>
    <n v="215000"/>
  </r>
  <r>
    <x v="25"/>
    <x v="1"/>
    <n v="1906"/>
    <n v="212982"/>
    <x v="4"/>
    <x v="0"/>
    <x v="1"/>
    <n v="17371"/>
    <n v="3.31"/>
    <n v="381200"/>
  </r>
  <r>
    <x v="26"/>
    <x v="0"/>
    <n v="289"/>
    <n v="208286"/>
    <x v="0"/>
    <x v="0"/>
    <x v="0"/>
    <n v="12835"/>
    <n v="3.56"/>
    <n v="57800"/>
  </r>
  <r>
    <x v="27"/>
    <x v="0"/>
    <n v="2834"/>
    <n v="259002"/>
    <x v="4"/>
    <x v="2"/>
    <x v="0"/>
    <n v="46936"/>
    <n v="8.56"/>
    <n v="566800"/>
  </r>
  <r>
    <x v="28"/>
    <x v="0"/>
    <n v="3105"/>
    <n v="260396"/>
    <x v="2"/>
    <x v="0"/>
    <x v="1"/>
    <n v="3049"/>
    <n v="1.8"/>
    <n v="621000"/>
  </r>
  <r>
    <x v="29"/>
    <x v="0"/>
    <n v="4758"/>
    <n v="174899"/>
    <x v="1"/>
    <x v="2"/>
    <x v="0"/>
    <n v="32616"/>
    <n v="7.23"/>
    <n v="951600"/>
  </r>
  <r>
    <x v="30"/>
    <x v="2"/>
    <n v="1999"/>
    <n v="53585"/>
    <x v="1"/>
    <x v="2"/>
    <x v="1"/>
    <n v="39191"/>
    <n v="5.75"/>
    <n v="399800"/>
  </r>
  <r>
    <x v="31"/>
    <x v="1"/>
    <n v="1367"/>
    <n v="74044"/>
    <x v="0"/>
    <x v="0"/>
    <x v="1"/>
    <n v="48357"/>
    <n v="3.32"/>
    <n v="273400"/>
  </r>
  <r>
    <x v="32"/>
    <x v="2"/>
    <n v="1628"/>
    <n v="119556"/>
    <x v="4"/>
    <x v="3"/>
    <x v="0"/>
    <n v="21932"/>
    <n v="4.49"/>
    <n v="325600"/>
  </r>
  <r>
    <x v="33"/>
    <x v="0"/>
    <n v="3302"/>
    <n v="12693"/>
    <x v="3"/>
    <x v="3"/>
    <x v="1"/>
    <n v="30855"/>
    <n v="2.93"/>
    <n v="660400"/>
  </r>
  <r>
    <x v="34"/>
    <x v="2"/>
    <n v="3656"/>
    <n v="253307"/>
    <x v="3"/>
    <x v="2"/>
    <x v="1"/>
    <n v="8158"/>
    <n v="6.31"/>
    <n v="731200"/>
  </r>
  <r>
    <x v="35"/>
    <x v="1"/>
    <n v="3990"/>
    <n v="210235"/>
    <x v="3"/>
    <x v="1"/>
    <x v="1"/>
    <n v="44016"/>
    <n v="1.28"/>
    <n v="798000"/>
  </r>
  <r>
    <x v="36"/>
    <x v="1"/>
    <n v="746"/>
    <n v="35939"/>
    <x v="1"/>
    <x v="2"/>
    <x v="0"/>
    <n v="8400"/>
    <n v="0.55000000000000004"/>
    <n v="149200"/>
  </r>
  <r>
    <x v="37"/>
    <x v="0"/>
    <n v="2988"/>
    <n v="162906"/>
    <x v="1"/>
    <x v="2"/>
    <x v="0"/>
    <n v="43642"/>
    <n v="6.46"/>
    <n v="597600"/>
  </r>
  <r>
    <x v="38"/>
    <x v="2"/>
    <n v="2535"/>
    <n v="28047"/>
    <x v="4"/>
    <x v="2"/>
    <x v="1"/>
    <n v="16151"/>
    <n v="2.35"/>
    <n v="507000"/>
  </r>
  <r>
    <x v="39"/>
    <x v="2"/>
    <n v="700"/>
    <n v="298249"/>
    <x v="0"/>
    <x v="3"/>
    <x v="0"/>
    <n v="2154"/>
    <n v="1.17"/>
    <n v="140000"/>
  </r>
  <r>
    <x v="40"/>
    <x v="2"/>
    <n v="2463"/>
    <n v="85766"/>
    <x v="3"/>
    <x v="3"/>
    <x v="1"/>
    <n v="5499"/>
    <n v="4.2699999999999996"/>
    <n v="492600"/>
  </r>
  <r>
    <x v="41"/>
    <x v="1"/>
    <n v="2161"/>
    <n v="54262"/>
    <x v="4"/>
    <x v="3"/>
    <x v="0"/>
    <n v="7295"/>
    <n v="0.98"/>
    <n v="432200"/>
  </r>
  <r>
    <x v="42"/>
    <x v="1"/>
    <n v="341"/>
    <n v="295920"/>
    <x v="4"/>
    <x v="2"/>
    <x v="0"/>
    <n v="13183"/>
    <n v="8.92"/>
    <n v="68200"/>
  </r>
  <r>
    <x v="43"/>
    <x v="2"/>
    <n v="2141"/>
    <n v="171152"/>
    <x v="0"/>
    <x v="1"/>
    <x v="0"/>
    <n v="30299"/>
    <n v="0.76"/>
    <n v="428200"/>
  </r>
  <r>
    <x v="44"/>
    <x v="1"/>
    <n v="2924"/>
    <n v="138376"/>
    <x v="4"/>
    <x v="3"/>
    <x v="1"/>
    <n v="13874"/>
    <n v="6"/>
    <n v="584800"/>
  </r>
  <r>
    <x v="45"/>
    <x v="1"/>
    <n v="2712"/>
    <n v="147848"/>
    <x v="0"/>
    <x v="0"/>
    <x v="1"/>
    <n v="33711"/>
    <n v="4.67"/>
    <n v="542400"/>
  </r>
  <r>
    <x v="46"/>
    <x v="2"/>
    <n v="1463"/>
    <n v="102787"/>
    <x v="2"/>
    <x v="0"/>
    <x v="0"/>
    <n v="6539"/>
    <n v="6.88"/>
    <n v="292600"/>
  </r>
  <r>
    <x v="47"/>
    <x v="1"/>
    <n v="1578"/>
    <n v="137948"/>
    <x v="0"/>
    <x v="0"/>
    <x v="0"/>
    <n v="43405"/>
    <n v="3.62"/>
    <n v="315600"/>
  </r>
  <r>
    <x v="48"/>
    <x v="2"/>
    <n v="2656"/>
    <n v="65016"/>
    <x v="3"/>
    <x v="2"/>
    <x v="1"/>
    <n v="49354"/>
    <n v="1.97"/>
    <n v="531200"/>
  </r>
  <r>
    <x v="49"/>
    <x v="2"/>
    <n v="875"/>
    <n v="31959"/>
    <x v="3"/>
    <x v="0"/>
    <x v="1"/>
    <n v="3557"/>
    <n v="9.83"/>
    <n v="175000"/>
  </r>
  <r>
    <x v="50"/>
    <x v="0"/>
    <n v="4114"/>
    <n v="146602"/>
    <x v="0"/>
    <x v="2"/>
    <x v="0"/>
    <n v="39360"/>
    <n v="8.4700000000000006"/>
    <n v="822800"/>
  </r>
  <r>
    <x v="51"/>
    <x v="2"/>
    <n v="134"/>
    <n v="235928"/>
    <x v="2"/>
    <x v="0"/>
    <x v="1"/>
    <n v="17482"/>
    <n v="8.67"/>
    <n v="26800"/>
  </r>
  <r>
    <x v="52"/>
    <x v="1"/>
    <n v="3252"/>
    <n v="275892"/>
    <x v="2"/>
    <x v="1"/>
    <x v="0"/>
    <n v="3200"/>
    <n v="2.88"/>
    <n v="650400"/>
  </r>
  <r>
    <x v="53"/>
    <x v="0"/>
    <n v="2055"/>
    <n v="238576"/>
    <x v="3"/>
    <x v="2"/>
    <x v="1"/>
    <n v="47940"/>
    <n v="0.87"/>
    <n v="411000"/>
  </r>
  <r>
    <x v="54"/>
    <x v="2"/>
    <n v="1685"/>
    <n v="23545"/>
    <x v="2"/>
    <x v="0"/>
    <x v="0"/>
    <n v="3961"/>
    <n v="3.38"/>
    <n v="337000"/>
  </r>
  <r>
    <x v="55"/>
    <x v="0"/>
    <n v="4043"/>
    <n v="175838"/>
    <x v="4"/>
    <x v="3"/>
    <x v="0"/>
    <n v="47975"/>
    <n v="5.6"/>
    <n v="808600"/>
  </r>
  <r>
    <x v="56"/>
    <x v="1"/>
    <n v="3173"/>
    <n v="71087"/>
    <x v="1"/>
    <x v="2"/>
    <x v="1"/>
    <n v="22357"/>
    <n v="3.6"/>
    <n v="634600"/>
  </r>
  <r>
    <x v="57"/>
    <x v="2"/>
    <n v="1121"/>
    <n v="78840"/>
    <x v="4"/>
    <x v="3"/>
    <x v="1"/>
    <n v="12969"/>
    <n v="8.36"/>
    <n v="224200"/>
  </r>
  <r>
    <x v="58"/>
    <x v="1"/>
    <n v="3561"/>
    <n v="128451"/>
    <x v="3"/>
    <x v="3"/>
    <x v="1"/>
    <n v="3869"/>
    <n v="3.08"/>
    <n v="712200"/>
  </r>
  <r>
    <x v="59"/>
    <x v="0"/>
    <n v="2713"/>
    <n v="49353"/>
    <x v="2"/>
    <x v="3"/>
    <x v="1"/>
    <n v="47760"/>
    <n v="9.67"/>
    <n v="542600"/>
  </r>
  <r>
    <x v="60"/>
    <x v="2"/>
    <n v="3943"/>
    <n v="203075"/>
    <x v="0"/>
    <x v="3"/>
    <x v="1"/>
    <n v="29643"/>
    <n v="4.84"/>
    <n v="788600"/>
  </r>
  <r>
    <x v="61"/>
    <x v="0"/>
    <n v="1600"/>
    <n v="224283"/>
    <x v="1"/>
    <x v="0"/>
    <x v="0"/>
    <n v="25736"/>
    <n v="8.5"/>
    <n v="320000"/>
  </r>
  <r>
    <x v="62"/>
    <x v="0"/>
    <n v="4898"/>
    <n v="75318"/>
    <x v="0"/>
    <x v="0"/>
    <x v="1"/>
    <n v="39467"/>
    <n v="2.35"/>
    <n v="979600"/>
  </r>
  <r>
    <x v="63"/>
    <x v="2"/>
    <n v="261"/>
    <n v="251025"/>
    <x v="3"/>
    <x v="2"/>
    <x v="0"/>
    <n v="24328"/>
    <n v="4.41"/>
    <n v="52200"/>
  </r>
  <r>
    <x v="64"/>
    <x v="0"/>
    <n v="4397"/>
    <n v="77172"/>
    <x v="2"/>
    <x v="2"/>
    <x v="1"/>
    <n v="26876"/>
    <n v="7.15"/>
    <n v="879400"/>
  </r>
  <r>
    <x v="65"/>
    <x v="1"/>
    <n v="2081"/>
    <n v="226688"/>
    <x v="0"/>
    <x v="2"/>
    <x v="1"/>
    <n v="22295"/>
    <n v="1.81"/>
    <n v="416200"/>
  </r>
  <r>
    <x v="66"/>
    <x v="0"/>
    <n v="1095"/>
    <n v="266951"/>
    <x v="0"/>
    <x v="0"/>
    <x v="0"/>
    <n v="4987"/>
    <n v="1.76"/>
    <n v="219000"/>
  </r>
  <r>
    <x v="67"/>
    <x v="1"/>
    <n v="3442"/>
    <n v="103264"/>
    <x v="1"/>
    <x v="2"/>
    <x v="0"/>
    <n v="23399"/>
    <n v="9.7100000000000009"/>
    <n v="688400"/>
  </r>
  <r>
    <x v="68"/>
    <x v="1"/>
    <n v="4651"/>
    <n v="256458"/>
    <x v="1"/>
    <x v="3"/>
    <x v="1"/>
    <n v="47214"/>
    <n v="7.29"/>
    <n v="930200"/>
  </r>
  <r>
    <x v="69"/>
    <x v="0"/>
    <n v="3898"/>
    <n v="298880"/>
    <x v="2"/>
    <x v="0"/>
    <x v="0"/>
    <n v="34986"/>
    <n v="0.89"/>
    <n v="779600"/>
  </r>
  <r>
    <x v="70"/>
    <x v="1"/>
    <n v="1375"/>
    <n v="235281"/>
    <x v="1"/>
    <x v="2"/>
    <x v="1"/>
    <n v="21880"/>
    <n v="4.29"/>
    <n v="275000"/>
  </r>
  <r>
    <x v="71"/>
    <x v="2"/>
    <n v="1116"/>
    <n v="122859"/>
    <x v="0"/>
    <x v="3"/>
    <x v="1"/>
    <n v="5735"/>
    <n v="4.62"/>
    <n v="223200"/>
  </r>
  <r>
    <x v="72"/>
    <x v="1"/>
    <n v="437"/>
    <n v="279536"/>
    <x v="0"/>
    <x v="2"/>
    <x v="1"/>
    <n v="45064"/>
    <n v="7.57"/>
    <n v="87400"/>
  </r>
  <r>
    <x v="73"/>
    <x v="1"/>
    <n v="978"/>
    <n v="267426"/>
    <x v="3"/>
    <x v="1"/>
    <x v="0"/>
    <n v="5555"/>
    <n v="2.88"/>
    <n v="195600"/>
  </r>
  <r>
    <x v="74"/>
    <x v="1"/>
    <n v="1176"/>
    <n v="187789"/>
    <x v="0"/>
    <x v="2"/>
    <x v="0"/>
    <n v="42914"/>
    <n v="2.25"/>
    <n v="235200"/>
  </r>
  <r>
    <x v="75"/>
    <x v="2"/>
    <n v="4987"/>
    <n v="228164"/>
    <x v="2"/>
    <x v="1"/>
    <x v="1"/>
    <n v="41818"/>
    <n v="1.27"/>
    <n v="997400"/>
  </r>
  <r>
    <x v="76"/>
    <x v="2"/>
    <n v="4093"/>
    <n v="135657"/>
    <x v="4"/>
    <x v="2"/>
    <x v="1"/>
    <n v="46525"/>
    <n v="4.57"/>
    <n v="818600"/>
  </r>
  <r>
    <x v="77"/>
    <x v="2"/>
    <n v="4959"/>
    <n v="245167"/>
    <x v="3"/>
    <x v="2"/>
    <x v="1"/>
    <n v="20830"/>
    <n v="7.04"/>
    <n v="991800"/>
  </r>
  <r>
    <x v="78"/>
    <x v="0"/>
    <n v="479"/>
    <n v="167381"/>
    <x v="3"/>
    <x v="0"/>
    <x v="1"/>
    <n v="18429"/>
    <n v="1.05"/>
    <n v="95800"/>
  </r>
  <r>
    <x v="79"/>
    <x v="2"/>
    <n v="592"/>
    <n v="204806"/>
    <x v="2"/>
    <x v="0"/>
    <x v="0"/>
    <n v="7893"/>
    <n v="9.19"/>
    <n v="118400"/>
  </r>
  <r>
    <x v="80"/>
    <x v="1"/>
    <n v="2162"/>
    <n v="80467"/>
    <x v="2"/>
    <x v="1"/>
    <x v="1"/>
    <n v="15373"/>
    <n v="4.7"/>
    <n v="432400"/>
  </r>
  <r>
    <x v="81"/>
    <x v="2"/>
    <n v="3984"/>
    <n v="193734"/>
    <x v="1"/>
    <x v="0"/>
    <x v="1"/>
    <n v="48333"/>
    <n v="2.78"/>
    <n v="796800"/>
  </r>
  <r>
    <x v="82"/>
    <x v="2"/>
    <n v="164"/>
    <n v="108506"/>
    <x v="3"/>
    <x v="3"/>
    <x v="0"/>
    <n v="4436"/>
    <n v="1.39"/>
    <n v="32800"/>
  </r>
  <r>
    <x v="83"/>
    <x v="1"/>
    <n v="2668"/>
    <n v="119751"/>
    <x v="1"/>
    <x v="3"/>
    <x v="0"/>
    <n v="9754"/>
    <n v="2.2400000000000002"/>
    <n v="533600"/>
  </r>
  <r>
    <x v="84"/>
    <x v="0"/>
    <n v="2127"/>
    <n v="297486"/>
    <x v="0"/>
    <x v="1"/>
    <x v="1"/>
    <n v="11677"/>
    <n v="9.3800000000000008"/>
    <n v="425400"/>
  </r>
  <r>
    <x v="85"/>
    <x v="2"/>
    <n v="2795"/>
    <n v="178229"/>
    <x v="3"/>
    <x v="3"/>
    <x v="0"/>
    <n v="6895"/>
    <n v="6.56"/>
    <n v="559000"/>
  </r>
  <r>
    <x v="86"/>
    <x v="0"/>
    <n v="1595"/>
    <n v="116081"/>
    <x v="3"/>
    <x v="3"/>
    <x v="1"/>
    <n v="20738"/>
    <n v="5.41"/>
    <n v="319000"/>
  </r>
  <r>
    <x v="87"/>
    <x v="0"/>
    <n v="491"/>
    <n v="99045"/>
    <x v="4"/>
    <x v="2"/>
    <x v="1"/>
    <n v="31746"/>
    <n v="6.74"/>
    <n v="98200"/>
  </r>
  <r>
    <x v="88"/>
    <x v="0"/>
    <n v="4614"/>
    <n v="44698"/>
    <x v="3"/>
    <x v="0"/>
    <x v="0"/>
    <n v="49404"/>
    <n v="4.6399999999999997"/>
    <n v="922800"/>
  </r>
  <r>
    <x v="89"/>
    <x v="1"/>
    <n v="4574"/>
    <n v="120078"/>
    <x v="0"/>
    <x v="3"/>
    <x v="1"/>
    <n v="33352"/>
    <n v="7.44"/>
    <n v="914800"/>
  </r>
  <r>
    <x v="90"/>
    <x v="0"/>
    <n v="3661"/>
    <n v="32671"/>
    <x v="1"/>
    <x v="3"/>
    <x v="0"/>
    <n v="40790"/>
    <n v="0.95"/>
    <n v="732200"/>
  </r>
  <r>
    <x v="91"/>
    <x v="0"/>
    <n v="2378"/>
    <n v="96202"/>
    <x v="1"/>
    <x v="0"/>
    <x v="1"/>
    <n v="42919"/>
    <n v="5.88"/>
    <n v="475600"/>
  </r>
  <r>
    <x v="92"/>
    <x v="1"/>
    <n v="3199"/>
    <n v="61663"/>
    <x v="4"/>
    <x v="3"/>
    <x v="1"/>
    <n v="6600"/>
    <n v="2.0099999999999998"/>
    <n v="639800"/>
  </r>
  <r>
    <x v="93"/>
    <x v="0"/>
    <n v="300"/>
    <n v="25708"/>
    <x v="0"/>
    <x v="3"/>
    <x v="0"/>
    <n v="30124"/>
    <n v="1.64"/>
    <n v="60000"/>
  </r>
  <r>
    <x v="94"/>
    <x v="0"/>
    <n v="4975"/>
    <n v="143883"/>
    <x v="1"/>
    <x v="0"/>
    <x v="0"/>
    <n v="28643"/>
    <n v="3.75"/>
    <n v="995000"/>
  </r>
  <r>
    <x v="95"/>
    <x v="1"/>
    <n v="3204"/>
    <n v="122547"/>
    <x v="2"/>
    <x v="2"/>
    <x v="0"/>
    <n v="41764"/>
    <n v="1.37"/>
    <n v="640800"/>
  </r>
  <r>
    <x v="96"/>
    <x v="1"/>
    <n v="4698"/>
    <n v="44754"/>
    <x v="0"/>
    <x v="3"/>
    <x v="1"/>
    <n v="10007"/>
    <n v="1.39"/>
    <n v="939600"/>
  </r>
  <r>
    <x v="97"/>
    <x v="2"/>
    <n v="2554"/>
    <n v="236814"/>
    <x v="0"/>
    <x v="0"/>
    <x v="1"/>
    <n v="46714"/>
    <n v="3.46"/>
    <n v="510800"/>
  </r>
  <r>
    <x v="98"/>
    <x v="2"/>
    <n v="3745"/>
    <n v="247714"/>
    <x v="4"/>
    <x v="3"/>
    <x v="1"/>
    <n v="38410"/>
    <n v="9.81"/>
    <n v="749000"/>
  </r>
  <r>
    <x v="99"/>
    <x v="2"/>
    <n v="904"/>
    <n v="152483"/>
    <x v="1"/>
    <x v="3"/>
    <x v="1"/>
    <n v="45080"/>
    <n v="2.17"/>
    <n v="1808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818EB2-6271-42C6-ADF4-8CC137326A8D}" name="PivotTable1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14:C26" firstHeaderRow="1" firstDataRow="1" firstDataCol="1"/>
  <pivotFields count="12">
    <pivotField numFmtId="1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4">
        <item x="0"/>
        <item h="1" x="1"/>
        <item h="1" x="2"/>
        <item t="default"/>
      </items>
    </pivotField>
    <pivotField dataField="1" showAll="0"/>
    <pivotField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1"/>
  </rowFields>
  <rowItems count="12">
    <i>
      <x v="1"/>
    </i>
    <i>
      <x v="2"/>
    </i>
    <i>
      <x v="3"/>
    </i>
    <i>
      <x v="4"/>
    </i>
    <i>
      <x v="5"/>
    </i>
    <i>
      <x v="7"/>
    </i>
    <i>
      <x v="8"/>
    </i>
    <i>
      <x v="9"/>
    </i>
    <i>
      <x v="10"/>
    </i>
    <i>
      <x v="11"/>
    </i>
    <i>
      <x v="12"/>
    </i>
    <i t="grand">
      <x/>
    </i>
  </rowItems>
  <colItems count="1">
    <i/>
  </colItems>
  <dataFields count="1">
    <dataField name="Sum of Units Sold" fld="2" baseField="0" baseItem="0"/>
  </dataFields>
  <formats count="4">
    <format dxfId="140">
      <pivotArea outline="0" collapsedLevelsAreSubtotals="1" fieldPosition="0"/>
    </format>
    <format dxfId="139">
      <pivotArea collapsedLevelsAreSubtotals="1" fieldPosition="0">
        <references count="1">
          <reference field="11" count="11">
            <x v="2"/>
            <x v="3"/>
            <x v="4"/>
            <x v="5"/>
            <x v="6"/>
            <x v="7"/>
            <x v="8"/>
            <x v="9"/>
            <x v="10"/>
            <x v="11"/>
            <x v="12"/>
          </reference>
        </references>
      </pivotArea>
    </format>
    <format dxfId="138">
      <pivotArea collapsedLevelsAreSubtotals="1" fieldPosition="0">
        <references count="1">
          <reference field="11" count="1">
            <x v="1"/>
          </reference>
        </references>
      </pivotArea>
    </format>
    <format dxfId="137">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2AEA14-F199-4FA3-AFB5-B45AEEDE01D3}" name="PivotTable10"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E3" firstHeaderRow="0" firstDataRow="1" firstDataCol="0"/>
  <pivotFields count="12">
    <pivotField numFmtId="1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4">
        <item x="0"/>
        <item h="1" x="1"/>
        <item h="1" x="2"/>
        <item t="default"/>
      </items>
    </pivotField>
    <pivotField showAll="0"/>
    <pivotField dataField="1" showAll="0"/>
    <pivotField showAll="0"/>
    <pivotField showAll="0"/>
    <pivotField showAll="0"/>
    <pivotField dataField="1"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3">
    <i>
      <x/>
    </i>
    <i i="1">
      <x v="1"/>
    </i>
    <i i="2">
      <x v="2"/>
    </i>
  </colItems>
  <dataFields count="3">
    <dataField name="Sum of Revenue ($)" fld="3" baseField="0" baseItem="0" numFmtId="164"/>
    <dataField name="Sum of Marketing Budget ($)" fld="7" baseField="0" baseItem="0" numFmtId="164"/>
    <dataField name="Sum of Product Cost ($)" fld="9" baseField="0" baseItem="0" numFmtId="164"/>
  </dataFields>
  <formats count="3">
    <format dxfId="143">
      <pivotArea outline="0" collapsedLevelsAreSubtotals="1" fieldPosition="0">
        <references count="1">
          <reference field="4294967294" count="1" selected="0">
            <x v="0"/>
          </reference>
        </references>
      </pivotArea>
    </format>
    <format dxfId="142">
      <pivotArea outline="0" collapsedLevelsAreSubtotals="1" fieldPosition="0">
        <references count="1">
          <reference field="4294967294" count="1" selected="0">
            <x v="1"/>
          </reference>
        </references>
      </pivotArea>
    </format>
    <format dxfId="141">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774777-C2C5-44AC-9E12-ACE6A9534301}" name="PivotTable1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E23:F26" firstHeaderRow="1" firstDataRow="1" firstDataCol="1"/>
  <pivotFields count="12">
    <pivotField numFmtId="1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4">
        <item x="0"/>
        <item h="1" x="1"/>
        <item h="1" x="2"/>
        <item t="default"/>
      </items>
    </pivotField>
    <pivotField showAll="0"/>
    <pivotField showAll="0"/>
    <pivotField showAll="0"/>
    <pivotField showAll="0">
      <items count="5">
        <item x="0"/>
        <item x="2"/>
        <item x="1"/>
        <item x="3"/>
        <item t="default"/>
      </items>
    </pivotField>
    <pivotField axis="axisRow" dataField="1" showAll="0">
      <items count="3">
        <item x="1"/>
        <item x="0"/>
        <item t="default"/>
      </items>
    </pivotField>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3">
    <i>
      <x/>
    </i>
    <i>
      <x v="1"/>
    </i>
    <i t="grand">
      <x/>
    </i>
  </rowItems>
  <colItems count="1">
    <i/>
  </colItems>
  <dataFields count="1">
    <dataField name="Count of Sales Channel" fld="6" subtotal="count" baseField="0" baseItem="0"/>
  </dataFields>
  <formats count="2">
    <format dxfId="145">
      <pivotArea outline="0" collapsedLevelsAreSubtotals="1" fieldPosition="0"/>
    </format>
    <format dxfId="144">
      <pivotArea grandRow="1" outline="0" collapsedLevelsAreSubtotals="1" fieldPosition="0"/>
    </format>
  </formats>
  <chartFormats count="3">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6" count="1" selected="0">
            <x v="0"/>
          </reference>
        </references>
      </pivotArea>
    </chartFormat>
    <chartFormat chart="4" format="7">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940CC4-79F6-4C16-AACB-4A0C695B2F91}" name="PivotTable9"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B3" firstHeaderRow="1" firstDataRow="1" firstDataCol="0"/>
  <pivotFields count="12">
    <pivotField numFmtId="1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4">
        <item x="0"/>
        <item h="1" x="1"/>
        <item h="1" x="2"/>
        <item t="default"/>
      </items>
    </pivotField>
    <pivotField dataField="1"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Units Sold" fld="2" baseField="0" baseItem="0" numFmtId="165"/>
  </dataFields>
  <formats count="1">
    <format dxfId="14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619BCFD-7642-4D94-A59F-9521D0F1C7E4}" name="PivotTable1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13:I19" firstHeaderRow="1" firstDataRow="1" firstDataCol="1"/>
  <pivotFields count="12">
    <pivotField numFmtId="1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4">
        <item x="0"/>
        <item h="1" x="1"/>
        <item h="1" x="2"/>
        <item t="default"/>
      </items>
    </pivotField>
    <pivotField dataField="1" showAll="0"/>
    <pivotField showAll="0"/>
    <pivotField axis="axisRow" showAll="0">
      <items count="6">
        <item x="0"/>
        <item x="2"/>
        <item x="1"/>
        <item x="3"/>
        <item x="4"/>
        <item t="default"/>
      </items>
    </pivotField>
    <pivotField showAll="0">
      <items count="5">
        <item x="0"/>
        <item x="2"/>
        <item x="1"/>
        <item x="3"/>
        <item t="default"/>
      </items>
    </pivotField>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6">
    <i>
      <x/>
    </i>
    <i>
      <x v="1"/>
    </i>
    <i>
      <x v="2"/>
    </i>
    <i>
      <x v="3"/>
    </i>
    <i>
      <x v="4"/>
    </i>
    <i t="grand">
      <x/>
    </i>
  </rowItems>
  <colItems count="1">
    <i/>
  </colItems>
  <dataFields count="1">
    <dataField name="Sum of Units Sold" fld="2" baseField="0" baseItem="0"/>
  </dataFields>
  <formats count="3">
    <format dxfId="149">
      <pivotArea outline="0" collapsedLevelsAreSubtotals="1" fieldPosition="0"/>
    </format>
    <format dxfId="148">
      <pivotArea grandRow="1" outline="0" collapsedLevelsAreSubtotals="1" fieldPosition="0"/>
    </format>
    <format dxfId="147">
      <pivotArea collapsedLevelsAreSubtotals="1" fieldPosition="0">
        <references count="1">
          <reference field="4" count="0"/>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86EF4C8-869F-4997-BF51-7FD1DE198C17}" name="PivotTable1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E13:F18" firstHeaderRow="1" firstDataRow="1" firstDataCol="1"/>
  <pivotFields count="12">
    <pivotField numFmtId="1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4">
        <item x="0"/>
        <item h="1" x="1"/>
        <item h="1" x="2"/>
        <item t="default"/>
      </items>
    </pivotField>
    <pivotField showAll="0"/>
    <pivotField showAll="0"/>
    <pivotField showAll="0"/>
    <pivotField axis="axisRow" dataField="1" showAll="0">
      <items count="5">
        <item x="0"/>
        <item x="2"/>
        <item x="1"/>
        <item x="3"/>
        <item t="default"/>
      </items>
    </pivotField>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5">
    <i>
      <x/>
    </i>
    <i>
      <x v="1"/>
    </i>
    <i>
      <x v="2"/>
    </i>
    <i>
      <x v="3"/>
    </i>
    <i t="grand">
      <x/>
    </i>
  </rowItems>
  <colItems count="1">
    <i/>
  </colItems>
  <dataFields count="1">
    <dataField name="Count of Customer Segment" fld="5" subtotal="count" baseField="0" baseItem="0"/>
  </dataFields>
  <formats count="2">
    <format dxfId="151">
      <pivotArea outline="0" collapsedLevelsAreSubtotals="1" fieldPosition="0"/>
    </format>
    <format dxfId="150">
      <pivotArea grandRow="1" outline="0" collapsedLevelsAreSubtotals="1" fieldPosition="0"/>
    </format>
  </formats>
  <chartFormats count="5">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5" count="1" selected="0">
            <x v="0"/>
          </reference>
        </references>
      </pivotArea>
    </chartFormat>
    <chartFormat chart="8" format="12">
      <pivotArea type="data" outline="0" fieldPosition="0">
        <references count="2">
          <reference field="4294967294" count="1" selected="0">
            <x v="0"/>
          </reference>
          <reference field="5" count="1" selected="0">
            <x v="1"/>
          </reference>
        </references>
      </pivotArea>
    </chartFormat>
    <chartFormat chart="8" format="13">
      <pivotArea type="data" outline="0" fieldPosition="0">
        <references count="2">
          <reference field="4294967294" count="1" selected="0">
            <x v="0"/>
          </reference>
          <reference field="5" count="1" selected="0">
            <x v="2"/>
          </reference>
        </references>
      </pivotArea>
    </chartFormat>
    <chartFormat chart="8" format="14">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09B79E0-F365-4AEC-B8E2-FAA95804F9BB}" autoFormatId="16" applyNumberFormats="0" applyBorderFormats="0" applyFontFormats="0" applyPatternFormats="0" applyAlignmentFormats="0" applyWidthHeightFormats="0">
  <queryTableRefresh nextId="11">
    <queryTableFields count="10">
      <queryTableField id="1" name="Date" tableColumnId="11"/>
      <queryTableField id="2" name="Console Brand" tableColumnId="2"/>
      <queryTableField id="3" name="Units Sold" tableColumnId="3"/>
      <queryTableField id="4" name="Revenue ($)" tableColumnId="4"/>
      <queryTableField id="5" name="Region" tableColumnId="5"/>
      <queryTableField id="6" name="Customer Segment" tableColumnId="6"/>
      <queryTableField id="7" name="Sales Channel" tableColumnId="7"/>
      <queryTableField id="8" name="Marketing Budget ($)" tableColumnId="8"/>
      <queryTableField id="9" name="Return Rate (%)" tableColumnId="9"/>
      <queryTableField id="10" name="Product Cost ($)"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sole_Brand" xr10:uid="{E8E6D490-CF63-4A03-9D8F-F7456BE108ED}" sourceName="Console Brand">
  <pivotTables>
    <pivotTable tabId="3" name="PivotTable13"/>
    <pivotTable tabId="3" name="PivotTable10"/>
    <pivotTable tabId="3" name="PivotTable11"/>
    <pivotTable tabId="3" name="PivotTable12"/>
    <pivotTable tabId="3" name="PivotTable14"/>
    <pivotTable tabId="3" name="PivotTable9"/>
  </pivotTables>
  <data>
    <tabular pivotCacheId="2107876402">
      <items count="3">
        <i x="0"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sole Brand" xr10:uid="{DF5D36F2-ADE3-4B2A-A207-B48C95DE1570}" cache="Slicer_Console_Brand" caption="Console Brand" columnCount="3" showCaption="0" style="SlicerStyleLight1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sole Brand 1" xr10:uid="{4C916D8D-DBB9-4000-92F5-F93437CC7B9A}" cache="Slicer_Console_Brand" caption="Console Brand" columnCount="3" showCaption="0" style="SlicerStyleLight1 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4770C4-99E4-40D3-8D28-7A183F2CE6D0}" name="Gaming_Console_Dataset" displayName="Gaming_Console_Dataset" ref="A1:J101" tableType="queryTable" totalsRowShown="0">
  <autoFilter ref="A1:J101" xr:uid="{764770C4-99E4-40D3-8D28-7A183F2CE6D0}"/>
  <tableColumns count="10">
    <tableColumn id="11" xr3:uid="{27CC08CA-8925-4B8E-8B79-1DB67AC51CEB}" uniqueName="11" name="Date" queryTableFieldId="1" dataDxfId="156"/>
    <tableColumn id="2" xr3:uid="{716A0C3E-0134-431D-BC92-A94F830DB5CC}" uniqueName="2" name="Console Brand" queryTableFieldId="2" dataDxfId="155"/>
    <tableColumn id="3" xr3:uid="{2D8AB62D-0A67-4315-884A-B96A212F457B}" uniqueName="3" name="Units Sold" queryTableFieldId="3"/>
    <tableColumn id="4" xr3:uid="{4BC77FD7-FF36-4844-8582-5262CE5C70FA}" uniqueName="4" name="Revenue ($)" queryTableFieldId="4"/>
    <tableColumn id="5" xr3:uid="{8CE6C7BE-649B-4903-A3A8-3AAB5397D9CD}" uniqueName="5" name="Region" queryTableFieldId="5" dataDxfId="154"/>
    <tableColumn id="6" xr3:uid="{1EB39412-E68E-4E18-BE1B-904D930F3C37}" uniqueName="6" name="Customer Segment" queryTableFieldId="6" dataDxfId="153"/>
    <tableColumn id="7" xr3:uid="{AC17C592-11F9-4EDA-AAB1-B7B60F38A805}" uniqueName="7" name="Sales Channel" queryTableFieldId="7" dataDxfId="152"/>
    <tableColumn id="8" xr3:uid="{23358DD3-095F-4989-A34E-00C5C917FC87}" uniqueName="8" name="Marketing Budget ($)" queryTableFieldId="8"/>
    <tableColumn id="9" xr3:uid="{81DDB91B-D8B1-4A48-831A-E10172D70C00}" uniqueName="9" name="Return Rate (%)" queryTableFieldId="9"/>
    <tableColumn id="10" xr3:uid="{1E0B1CEE-A4C5-434E-B9AA-CD968856ACFA}" uniqueName="10" name="Product Cost ($)" queryTableFieldId="1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223BA-0A5E-45BE-B85F-6A48520B5DA1}">
  <dimension ref="A1:J101"/>
  <sheetViews>
    <sheetView workbookViewId="0"/>
  </sheetViews>
  <sheetFormatPr defaultRowHeight="15" x14ac:dyDescent="0.25"/>
  <cols>
    <col min="1" max="1" width="10.42578125" bestFit="1" customWidth="1"/>
    <col min="2" max="2" width="16.140625" bestFit="1" customWidth="1"/>
    <col min="3" max="3" width="12.28515625" bestFit="1" customWidth="1"/>
    <col min="4" max="5" width="14" bestFit="1" customWidth="1"/>
    <col min="6" max="6" width="20.42578125" bestFit="1" customWidth="1"/>
    <col min="7" max="7" width="15.7109375" bestFit="1" customWidth="1"/>
    <col min="8" max="8" width="22.28515625" bestFit="1" customWidth="1"/>
    <col min="9" max="9" width="17.28515625" bestFit="1" customWidth="1"/>
    <col min="10" max="10" width="17.42578125" bestFit="1" customWidth="1"/>
  </cols>
  <sheetData>
    <row r="1" spans="1:10" x14ac:dyDescent="0.25">
      <c r="A1" t="s">
        <v>0</v>
      </c>
      <c r="B1" t="s">
        <v>1</v>
      </c>
      <c r="C1" t="s">
        <v>2</v>
      </c>
      <c r="D1" t="s">
        <v>3</v>
      </c>
      <c r="E1" t="s">
        <v>4</v>
      </c>
      <c r="F1" t="s">
        <v>5</v>
      </c>
      <c r="G1" t="s">
        <v>6</v>
      </c>
      <c r="H1" t="s">
        <v>7</v>
      </c>
      <c r="I1" t="s">
        <v>8</v>
      </c>
      <c r="J1" t="s">
        <v>9</v>
      </c>
    </row>
    <row r="2" spans="1:10" x14ac:dyDescent="0.25">
      <c r="A2" s="1">
        <v>45292</v>
      </c>
      <c r="B2" t="s">
        <v>10</v>
      </c>
      <c r="C2">
        <v>960</v>
      </c>
      <c r="D2">
        <v>283109</v>
      </c>
      <c r="E2" t="s">
        <v>11</v>
      </c>
      <c r="F2" t="s">
        <v>12</v>
      </c>
      <c r="G2" t="s">
        <v>13</v>
      </c>
      <c r="H2">
        <v>3911</v>
      </c>
      <c r="I2">
        <v>0.91</v>
      </c>
      <c r="J2">
        <v>192000</v>
      </c>
    </row>
    <row r="3" spans="1:10" x14ac:dyDescent="0.25">
      <c r="A3" s="1">
        <v>45295</v>
      </c>
      <c r="B3" t="s">
        <v>14</v>
      </c>
      <c r="C3">
        <v>3872</v>
      </c>
      <c r="D3">
        <v>34538</v>
      </c>
      <c r="E3" t="s">
        <v>15</v>
      </c>
      <c r="F3" t="s">
        <v>16</v>
      </c>
      <c r="G3" t="s">
        <v>13</v>
      </c>
      <c r="H3">
        <v>2734</v>
      </c>
      <c r="I3">
        <v>9.9499999999999993</v>
      </c>
      <c r="J3">
        <v>774400</v>
      </c>
    </row>
    <row r="4" spans="1:10" x14ac:dyDescent="0.25">
      <c r="A4" s="1">
        <v>45299</v>
      </c>
      <c r="B4" t="s">
        <v>14</v>
      </c>
      <c r="C4">
        <v>3192</v>
      </c>
      <c r="D4">
        <v>211664</v>
      </c>
      <c r="E4" t="s">
        <v>17</v>
      </c>
      <c r="F4" t="s">
        <v>18</v>
      </c>
      <c r="G4" t="s">
        <v>13</v>
      </c>
      <c r="H4">
        <v>19227</v>
      </c>
      <c r="I4">
        <v>4.96</v>
      </c>
      <c r="J4">
        <v>638400</v>
      </c>
    </row>
    <row r="5" spans="1:10" x14ac:dyDescent="0.25">
      <c r="A5" s="1">
        <v>45303</v>
      </c>
      <c r="B5" t="s">
        <v>10</v>
      </c>
      <c r="C5">
        <v>566</v>
      </c>
      <c r="D5">
        <v>149182</v>
      </c>
      <c r="E5" t="s">
        <v>19</v>
      </c>
      <c r="F5" t="s">
        <v>16</v>
      </c>
      <c r="G5" t="s">
        <v>20</v>
      </c>
      <c r="H5">
        <v>9680</v>
      </c>
      <c r="I5">
        <v>3.16</v>
      </c>
      <c r="J5">
        <v>113200</v>
      </c>
    </row>
    <row r="6" spans="1:10" x14ac:dyDescent="0.25">
      <c r="A6" s="1">
        <v>45306</v>
      </c>
      <c r="B6" t="s">
        <v>21</v>
      </c>
      <c r="C6">
        <v>4526</v>
      </c>
      <c r="D6">
        <v>168338</v>
      </c>
      <c r="E6" t="s">
        <v>15</v>
      </c>
      <c r="F6" t="s">
        <v>18</v>
      </c>
      <c r="G6" t="s">
        <v>13</v>
      </c>
      <c r="H6">
        <v>20360</v>
      </c>
      <c r="I6">
        <v>8.89</v>
      </c>
      <c r="J6">
        <v>905200</v>
      </c>
    </row>
    <row r="7" spans="1:10" x14ac:dyDescent="0.25">
      <c r="A7" s="1">
        <v>45310</v>
      </c>
      <c r="B7" t="s">
        <v>14</v>
      </c>
      <c r="C7">
        <v>3544</v>
      </c>
      <c r="D7">
        <v>194064</v>
      </c>
      <c r="E7" t="s">
        <v>19</v>
      </c>
      <c r="F7" t="s">
        <v>18</v>
      </c>
      <c r="G7" t="s">
        <v>20</v>
      </c>
      <c r="H7">
        <v>19343</v>
      </c>
      <c r="I7">
        <v>7.6</v>
      </c>
      <c r="J7">
        <v>708800</v>
      </c>
    </row>
    <row r="8" spans="1:10" x14ac:dyDescent="0.25">
      <c r="A8" s="1">
        <v>45314</v>
      </c>
      <c r="B8" t="s">
        <v>14</v>
      </c>
      <c r="C8">
        <v>3271</v>
      </c>
      <c r="D8">
        <v>224020</v>
      </c>
      <c r="E8" t="s">
        <v>17</v>
      </c>
      <c r="F8" t="s">
        <v>22</v>
      </c>
      <c r="G8" t="s">
        <v>13</v>
      </c>
      <c r="H8">
        <v>6759</v>
      </c>
      <c r="I8">
        <v>9.5500000000000007</v>
      </c>
      <c r="J8">
        <v>654200</v>
      </c>
    </row>
    <row r="9" spans="1:10" x14ac:dyDescent="0.25">
      <c r="A9" s="1">
        <v>45317</v>
      </c>
      <c r="B9" t="s">
        <v>14</v>
      </c>
      <c r="C9">
        <v>3019</v>
      </c>
      <c r="D9">
        <v>108806</v>
      </c>
      <c r="E9" t="s">
        <v>23</v>
      </c>
      <c r="F9" t="s">
        <v>12</v>
      </c>
      <c r="G9" t="s">
        <v>13</v>
      </c>
      <c r="H9">
        <v>24078</v>
      </c>
      <c r="I9">
        <v>3.64</v>
      </c>
      <c r="J9">
        <v>603800</v>
      </c>
    </row>
    <row r="10" spans="1:10" x14ac:dyDescent="0.25">
      <c r="A10" s="1">
        <v>45321</v>
      </c>
      <c r="B10" t="s">
        <v>10</v>
      </c>
      <c r="C10">
        <v>230</v>
      </c>
      <c r="D10">
        <v>100982</v>
      </c>
      <c r="E10" t="s">
        <v>17</v>
      </c>
      <c r="F10" t="s">
        <v>12</v>
      </c>
      <c r="G10" t="s">
        <v>20</v>
      </c>
      <c r="H10">
        <v>36153</v>
      </c>
      <c r="I10">
        <v>5.75</v>
      </c>
      <c r="J10">
        <v>46000</v>
      </c>
    </row>
    <row r="11" spans="1:10" x14ac:dyDescent="0.25">
      <c r="A11" s="1">
        <v>45325</v>
      </c>
      <c r="B11" t="s">
        <v>14</v>
      </c>
      <c r="C11">
        <v>1785</v>
      </c>
      <c r="D11">
        <v>131626</v>
      </c>
      <c r="E11" t="s">
        <v>19</v>
      </c>
      <c r="F11" t="s">
        <v>22</v>
      </c>
      <c r="G11" t="s">
        <v>13</v>
      </c>
      <c r="H11">
        <v>12111</v>
      </c>
      <c r="I11">
        <v>5.94</v>
      </c>
      <c r="J11">
        <v>357000</v>
      </c>
    </row>
    <row r="12" spans="1:10" x14ac:dyDescent="0.25">
      <c r="A12" s="1">
        <v>45328</v>
      </c>
      <c r="B12" t="s">
        <v>10</v>
      </c>
      <c r="C12">
        <v>869</v>
      </c>
      <c r="D12">
        <v>129176</v>
      </c>
      <c r="E12" t="s">
        <v>15</v>
      </c>
      <c r="F12" t="s">
        <v>16</v>
      </c>
      <c r="G12" t="s">
        <v>13</v>
      </c>
      <c r="H12">
        <v>38504</v>
      </c>
      <c r="I12">
        <v>9.81</v>
      </c>
      <c r="J12">
        <v>173800</v>
      </c>
    </row>
    <row r="13" spans="1:10" x14ac:dyDescent="0.25">
      <c r="A13" s="1">
        <v>45332</v>
      </c>
      <c r="B13" t="s">
        <v>10</v>
      </c>
      <c r="C13">
        <v>2491</v>
      </c>
      <c r="D13">
        <v>228126</v>
      </c>
      <c r="E13" t="s">
        <v>11</v>
      </c>
      <c r="F13" t="s">
        <v>22</v>
      </c>
      <c r="G13" t="s">
        <v>13</v>
      </c>
      <c r="H13">
        <v>2802</v>
      </c>
      <c r="I13">
        <v>1.22</v>
      </c>
      <c r="J13">
        <v>498200</v>
      </c>
    </row>
    <row r="14" spans="1:10" x14ac:dyDescent="0.25">
      <c r="A14" s="1">
        <v>45336</v>
      </c>
      <c r="B14" t="s">
        <v>10</v>
      </c>
      <c r="C14">
        <v>2533</v>
      </c>
      <c r="D14">
        <v>228969</v>
      </c>
      <c r="E14" t="s">
        <v>17</v>
      </c>
      <c r="F14" t="s">
        <v>12</v>
      </c>
      <c r="G14" t="s">
        <v>20</v>
      </c>
      <c r="H14">
        <v>9155</v>
      </c>
      <c r="I14">
        <v>3.4</v>
      </c>
      <c r="J14">
        <v>506600</v>
      </c>
    </row>
    <row r="15" spans="1:10" x14ac:dyDescent="0.25">
      <c r="A15" s="1">
        <v>45339</v>
      </c>
      <c r="B15" t="s">
        <v>14</v>
      </c>
      <c r="C15">
        <v>1284</v>
      </c>
      <c r="D15">
        <v>132409</v>
      </c>
      <c r="E15" t="s">
        <v>15</v>
      </c>
      <c r="F15" t="s">
        <v>12</v>
      </c>
      <c r="G15" t="s">
        <v>20</v>
      </c>
      <c r="H15">
        <v>9120</v>
      </c>
      <c r="I15">
        <v>2.31</v>
      </c>
      <c r="J15">
        <v>256800</v>
      </c>
    </row>
    <row r="16" spans="1:10" x14ac:dyDescent="0.25">
      <c r="A16" s="1">
        <v>45343</v>
      </c>
      <c r="B16" t="s">
        <v>10</v>
      </c>
      <c r="C16">
        <v>4655</v>
      </c>
      <c r="D16">
        <v>33419</v>
      </c>
      <c r="E16" t="s">
        <v>23</v>
      </c>
      <c r="F16" t="s">
        <v>22</v>
      </c>
      <c r="G16" t="s">
        <v>13</v>
      </c>
      <c r="H16">
        <v>40384</v>
      </c>
      <c r="I16">
        <v>3.05</v>
      </c>
      <c r="J16">
        <v>931000</v>
      </c>
    </row>
    <row r="17" spans="1:10" x14ac:dyDescent="0.25">
      <c r="A17" s="1">
        <v>45347</v>
      </c>
      <c r="B17" t="s">
        <v>21</v>
      </c>
      <c r="C17">
        <v>3485</v>
      </c>
      <c r="D17">
        <v>263618</v>
      </c>
      <c r="E17" t="s">
        <v>23</v>
      </c>
      <c r="F17" t="s">
        <v>22</v>
      </c>
      <c r="G17" t="s">
        <v>20</v>
      </c>
      <c r="H17">
        <v>48025</v>
      </c>
      <c r="I17">
        <v>5.1100000000000003</v>
      </c>
      <c r="J17">
        <v>697000</v>
      </c>
    </row>
    <row r="18" spans="1:10" x14ac:dyDescent="0.25">
      <c r="A18" s="1">
        <v>45350</v>
      </c>
      <c r="B18" t="s">
        <v>14</v>
      </c>
      <c r="C18">
        <v>4217</v>
      </c>
      <c r="D18">
        <v>255310</v>
      </c>
      <c r="E18" t="s">
        <v>23</v>
      </c>
      <c r="F18" t="s">
        <v>22</v>
      </c>
      <c r="G18" t="s">
        <v>20</v>
      </c>
      <c r="H18">
        <v>48254</v>
      </c>
      <c r="I18">
        <v>4.04</v>
      </c>
      <c r="J18">
        <v>843400</v>
      </c>
    </row>
    <row r="19" spans="1:10" x14ac:dyDescent="0.25">
      <c r="A19" s="1">
        <v>45355</v>
      </c>
      <c r="B19" t="s">
        <v>14</v>
      </c>
      <c r="C19">
        <v>4943</v>
      </c>
      <c r="D19">
        <v>60015</v>
      </c>
      <c r="E19" t="s">
        <v>15</v>
      </c>
      <c r="F19" t="s">
        <v>12</v>
      </c>
      <c r="G19" t="s">
        <v>20</v>
      </c>
      <c r="H19">
        <v>22918</v>
      </c>
      <c r="I19">
        <v>4.25</v>
      </c>
      <c r="J19">
        <v>988600</v>
      </c>
    </row>
    <row r="20" spans="1:10" x14ac:dyDescent="0.25">
      <c r="A20" s="1">
        <v>45359</v>
      </c>
      <c r="B20" t="s">
        <v>14</v>
      </c>
      <c r="C20">
        <v>3004</v>
      </c>
      <c r="D20">
        <v>258550</v>
      </c>
      <c r="E20" t="s">
        <v>17</v>
      </c>
      <c r="F20" t="s">
        <v>22</v>
      </c>
      <c r="G20" t="s">
        <v>13</v>
      </c>
      <c r="H20">
        <v>21445</v>
      </c>
      <c r="I20">
        <v>8.52</v>
      </c>
      <c r="J20">
        <v>600800</v>
      </c>
    </row>
    <row r="21" spans="1:10" x14ac:dyDescent="0.25">
      <c r="A21" s="1">
        <v>45362</v>
      </c>
      <c r="B21" t="s">
        <v>14</v>
      </c>
      <c r="C21">
        <v>574</v>
      </c>
      <c r="D21">
        <v>132096</v>
      </c>
      <c r="E21" t="s">
        <v>15</v>
      </c>
      <c r="F21" t="s">
        <v>22</v>
      </c>
      <c r="G21" t="s">
        <v>20</v>
      </c>
      <c r="H21">
        <v>31306</v>
      </c>
      <c r="I21">
        <v>9.34</v>
      </c>
      <c r="J21">
        <v>114800</v>
      </c>
    </row>
    <row r="22" spans="1:10" x14ac:dyDescent="0.25">
      <c r="A22" s="1">
        <v>45366</v>
      </c>
      <c r="B22" t="s">
        <v>14</v>
      </c>
      <c r="C22">
        <v>1182</v>
      </c>
      <c r="D22">
        <v>117059</v>
      </c>
      <c r="E22" t="s">
        <v>15</v>
      </c>
      <c r="F22" t="s">
        <v>16</v>
      </c>
      <c r="G22" t="s">
        <v>13</v>
      </c>
      <c r="H22">
        <v>17646</v>
      </c>
      <c r="I22">
        <v>1.17</v>
      </c>
      <c r="J22">
        <v>236400</v>
      </c>
    </row>
    <row r="23" spans="1:10" x14ac:dyDescent="0.25">
      <c r="A23" s="1">
        <v>45370</v>
      </c>
      <c r="B23" t="s">
        <v>10</v>
      </c>
      <c r="C23">
        <v>2658</v>
      </c>
      <c r="D23">
        <v>195340</v>
      </c>
      <c r="E23" t="s">
        <v>11</v>
      </c>
      <c r="F23" t="s">
        <v>22</v>
      </c>
      <c r="G23" t="s">
        <v>20</v>
      </c>
      <c r="H23">
        <v>47843</v>
      </c>
      <c r="I23">
        <v>2.48</v>
      </c>
      <c r="J23">
        <v>531600</v>
      </c>
    </row>
    <row r="24" spans="1:10" x14ac:dyDescent="0.25">
      <c r="A24" s="1">
        <v>45373</v>
      </c>
      <c r="B24" t="s">
        <v>10</v>
      </c>
      <c r="C24">
        <v>2147</v>
      </c>
      <c r="D24">
        <v>120687</v>
      </c>
      <c r="E24" t="s">
        <v>11</v>
      </c>
      <c r="F24" t="s">
        <v>12</v>
      </c>
      <c r="G24" t="s">
        <v>20</v>
      </c>
      <c r="H24">
        <v>32065</v>
      </c>
      <c r="I24">
        <v>6.88</v>
      </c>
      <c r="J24">
        <v>429400</v>
      </c>
    </row>
    <row r="25" spans="1:10" x14ac:dyDescent="0.25">
      <c r="A25" s="1">
        <v>45377</v>
      </c>
      <c r="B25" t="s">
        <v>14</v>
      </c>
      <c r="C25">
        <v>2847</v>
      </c>
      <c r="D25">
        <v>221428</v>
      </c>
      <c r="E25" t="s">
        <v>17</v>
      </c>
      <c r="F25" t="s">
        <v>16</v>
      </c>
      <c r="G25" t="s">
        <v>13</v>
      </c>
      <c r="H25">
        <v>26199</v>
      </c>
      <c r="I25">
        <v>3.91</v>
      </c>
      <c r="J25">
        <v>569400</v>
      </c>
    </row>
    <row r="26" spans="1:10" x14ac:dyDescent="0.25">
      <c r="A26" s="1">
        <v>45381</v>
      </c>
      <c r="B26" t="s">
        <v>10</v>
      </c>
      <c r="C26">
        <v>1075</v>
      </c>
      <c r="D26">
        <v>115878</v>
      </c>
      <c r="E26" t="s">
        <v>11</v>
      </c>
      <c r="F26" t="s">
        <v>18</v>
      </c>
      <c r="G26" t="s">
        <v>13</v>
      </c>
      <c r="H26">
        <v>42976</v>
      </c>
      <c r="I26">
        <v>2.91</v>
      </c>
      <c r="J26">
        <v>215000</v>
      </c>
    </row>
    <row r="27" spans="1:10" x14ac:dyDescent="0.25">
      <c r="A27" s="1">
        <v>45384</v>
      </c>
      <c r="B27" t="s">
        <v>14</v>
      </c>
      <c r="C27">
        <v>1906</v>
      </c>
      <c r="D27">
        <v>212982</v>
      </c>
      <c r="E27" t="s">
        <v>23</v>
      </c>
      <c r="F27" t="s">
        <v>12</v>
      </c>
      <c r="G27" t="s">
        <v>20</v>
      </c>
      <c r="H27">
        <v>17371</v>
      </c>
      <c r="I27">
        <v>3.31</v>
      </c>
      <c r="J27">
        <v>381200</v>
      </c>
    </row>
    <row r="28" spans="1:10" x14ac:dyDescent="0.25">
      <c r="A28" s="1">
        <v>45388</v>
      </c>
      <c r="B28" t="s">
        <v>10</v>
      </c>
      <c r="C28">
        <v>289</v>
      </c>
      <c r="D28">
        <v>208286</v>
      </c>
      <c r="E28" t="s">
        <v>11</v>
      </c>
      <c r="F28" t="s">
        <v>12</v>
      </c>
      <c r="G28" t="s">
        <v>13</v>
      </c>
      <c r="H28">
        <v>12835</v>
      </c>
      <c r="I28">
        <v>3.56</v>
      </c>
      <c r="J28">
        <v>57800</v>
      </c>
    </row>
    <row r="29" spans="1:10" x14ac:dyDescent="0.25">
      <c r="A29" s="1">
        <v>45392</v>
      </c>
      <c r="B29" t="s">
        <v>10</v>
      </c>
      <c r="C29">
        <v>2834</v>
      </c>
      <c r="D29">
        <v>259002</v>
      </c>
      <c r="E29" t="s">
        <v>23</v>
      </c>
      <c r="F29" t="s">
        <v>18</v>
      </c>
      <c r="G29" t="s">
        <v>13</v>
      </c>
      <c r="H29">
        <v>46936</v>
      </c>
      <c r="I29">
        <v>8.56</v>
      </c>
      <c r="J29">
        <v>566800</v>
      </c>
    </row>
    <row r="30" spans="1:10" x14ac:dyDescent="0.25">
      <c r="A30" s="1">
        <v>45395</v>
      </c>
      <c r="B30" t="s">
        <v>10</v>
      </c>
      <c r="C30">
        <v>3105</v>
      </c>
      <c r="D30">
        <v>260396</v>
      </c>
      <c r="E30" t="s">
        <v>17</v>
      </c>
      <c r="F30" t="s">
        <v>12</v>
      </c>
      <c r="G30" t="s">
        <v>20</v>
      </c>
      <c r="H30">
        <v>3049</v>
      </c>
      <c r="I30">
        <v>1.8</v>
      </c>
      <c r="J30">
        <v>621000</v>
      </c>
    </row>
    <row r="31" spans="1:10" x14ac:dyDescent="0.25">
      <c r="A31" s="1">
        <v>45399</v>
      </c>
      <c r="B31" t="s">
        <v>10</v>
      </c>
      <c r="C31">
        <v>4758</v>
      </c>
      <c r="D31">
        <v>174899</v>
      </c>
      <c r="E31" t="s">
        <v>15</v>
      </c>
      <c r="F31" t="s">
        <v>18</v>
      </c>
      <c r="G31" t="s">
        <v>13</v>
      </c>
      <c r="H31">
        <v>32616</v>
      </c>
      <c r="I31">
        <v>7.23</v>
      </c>
      <c r="J31">
        <v>951600</v>
      </c>
    </row>
    <row r="32" spans="1:10" x14ac:dyDescent="0.25">
      <c r="A32" s="1">
        <v>45403</v>
      </c>
      <c r="B32" t="s">
        <v>21</v>
      </c>
      <c r="C32">
        <v>1999</v>
      </c>
      <c r="D32">
        <v>53585</v>
      </c>
      <c r="E32" t="s">
        <v>15</v>
      </c>
      <c r="F32" t="s">
        <v>18</v>
      </c>
      <c r="G32" t="s">
        <v>20</v>
      </c>
      <c r="H32">
        <v>39191</v>
      </c>
      <c r="I32">
        <v>5.75</v>
      </c>
      <c r="J32">
        <v>399800</v>
      </c>
    </row>
    <row r="33" spans="1:10" x14ac:dyDescent="0.25">
      <c r="A33" s="1">
        <v>45406</v>
      </c>
      <c r="B33" t="s">
        <v>14</v>
      </c>
      <c r="C33">
        <v>1367</v>
      </c>
      <c r="D33">
        <v>74044</v>
      </c>
      <c r="E33" t="s">
        <v>11</v>
      </c>
      <c r="F33" t="s">
        <v>12</v>
      </c>
      <c r="G33" t="s">
        <v>20</v>
      </c>
      <c r="H33">
        <v>48357</v>
      </c>
      <c r="I33">
        <v>3.32</v>
      </c>
      <c r="J33">
        <v>273400</v>
      </c>
    </row>
    <row r="34" spans="1:10" x14ac:dyDescent="0.25">
      <c r="A34" s="1">
        <v>45410</v>
      </c>
      <c r="B34" t="s">
        <v>21</v>
      </c>
      <c r="C34">
        <v>1628</v>
      </c>
      <c r="D34">
        <v>119556</v>
      </c>
      <c r="E34" t="s">
        <v>23</v>
      </c>
      <c r="F34" t="s">
        <v>22</v>
      </c>
      <c r="G34" t="s">
        <v>13</v>
      </c>
      <c r="H34">
        <v>21932</v>
      </c>
      <c r="I34">
        <v>4.49</v>
      </c>
      <c r="J34">
        <v>325600</v>
      </c>
    </row>
    <row r="35" spans="1:10" x14ac:dyDescent="0.25">
      <c r="A35" s="1">
        <v>45414</v>
      </c>
      <c r="B35" t="s">
        <v>10</v>
      </c>
      <c r="C35">
        <v>3302</v>
      </c>
      <c r="D35">
        <v>12693</v>
      </c>
      <c r="E35" t="s">
        <v>19</v>
      </c>
      <c r="F35" t="s">
        <v>22</v>
      </c>
      <c r="G35" t="s">
        <v>20</v>
      </c>
      <c r="H35">
        <v>30855</v>
      </c>
      <c r="I35">
        <v>2.93</v>
      </c>
      <c r="J35">
        <v>660400</v>
      </c>
    </row>
    <row r="36" spans="1:10" x14ac:dyDescent="0.25">
      <c r="A36" s="1">
        <v>45418</v>
      </c>
      <c r="B36" t="s">
        <v>21</v>
      </c>
      <c r="C36">
        <v>3656</v>
      </c>
      <c r="D36">
        <v>253307</v>
      </c>
      <c r="E36" t="s">
        <v>19</v>
      </c>
      <c r="F36" t="s">
        <v>18</v>
      </c>
      <c r="G36" t="s">
        <v>20</v>
      </c>
      <c r="H36">
        <v>8158</v>
      </c>
      <c r="I36">
        <v>6.31</v>
      </c>
      <c r="J36">
        <v>731200</v>
      </c>
    </row>
    <row r="37" spans="1:10" x14ac:dyDescent="0.25">
      <c r="A37" s="1">
        <v>45421</v>
      </c>
      <c r="B37" t="s">
        <v>14</v>
      </c>
      <c r="C37">
        <v>3990</v>
      </c>
      <c r="D37">
        <v>210235</v>
      </c>
      <c r="E37" t="s">
        <v>19</v>
      </c>
      <c r="F37" t="s">
        <v>16</v>
      </c>
      <c r="G37" t="s">
        <v>20</v>
      </c>
      <c r="H37">
        <v>44016</v>
      </c>
      <c r="I37">
        <v>1.28</v>
      </c>
      <c r="J37">
        <v>798000</v>
      </c>
    </row>
    <row r="38" spans="1:10" x14ac:dyDescent="0.25">
      <c r="A38" s="1">
        <v>45425</v>
      </c>
      <c r="B38" t="s">
        <v>14</v>
      </c>
      <c r="C38">
        <v>746</v>
      </c>
      <c r="D38">
        <v>35939</v>
      </c>
      <c r="E38" t="s">
        <v>15</v>
      </c>
      <c r="F38" t="s">
        <v>18</v>
      </c>
      <c r="G38" t="s">
        <v>13</v>
      </c>
      <c r="H38">
        <v>8400</v>
      </c>
      <c r="I38">
        <v>0.55000000000000004</v>
      </c>
      <c r="J38">
        <v>149200</v>
      </c>
    </row>
    <row r="39" spans="1:10" x14ac:dyDescent="0.25">
      <c r="A39" s="1">
        <v>45429</v>
      </c>
      <c r="B39" t="s">
        <v>10</v>
      </c>
      <c r="C39">
        <v>2988</v>
      </c>
      <c r="D39">
        <v>162906</v>
      </c>
      <c r="E39" t="s">
        <v>15</v>
      </c>
      <c r="F39" t="s">
        <v>18</v>
      </c>
      <c r="G39" t="s">
        <v>13</v>
      </c>
      <c r="H39">
        <v>43642</v>
      </c>
      <c r="I39">
        <v>6.46</v>
      </c>
      <c r="J39">
        <v>597600</v>
      </c>
    </row>
    <row r="40" spans="1:10" x14ac:dyDescent="0.25">
      <c r="A40" s="1">
        <v>45432</v>
      </c>
      <c r="B40" t="s">
        <v>21</v>
      </c>
      <c r="C40">
        <v>2535</v>
      </c>
      <c r="D40">
        <v>28047</v>
      </c>
      <c r="E40" t="s">
        <v>23</v>
      </c>
      <c r="F40" t="s">
        <v>18</v>
      </c>
      <c r="G40" t="s">
        <v>20</v>
      </c>
      <c r="H40">
        <v>16151</v>
      </c>
      <c r="I40">
        <v>2.35</v>
      </c>
      <c r="J40">
        <v>507000</v>
      </c>
    </row>
    <row r="41" spans="1:10" x14ac:dyDescent="0.25">
      <c r="A41" s="1">
        <v>45436</v>
      </c>
      <c r="B41" t="s">
        <v>21</v>
      </c>
      <c r="C41">
        <v>700</v>
      </c>
      <c r="D41">
        <v>298249</v>
      </c>
      <c r="E41" t="s">
        <v>11</v>
      </c>
      <c r="F41" t="s">
        <v>22</v>
      </c>
      <c r="G41" t="s">
        <v>13</v>
      </c>
      <c r="H41">
        <v>2154</v>
      </c>
      <c r="I41">
        <v>1.17</v>
      </c>
      <c r="J41">
        <v>140000</v>
      </c>
    </row>
    <row r="42" spans="1:10" x14ac:dyDescent="0.25">
      <c r="A42" s="1">
        <v>45440</v>
      </c>
      <c r="B42" t="s">
        <v>21</v>
      </c>
      <c r="C42">
        <v>2463</v>
      </c>
      <c r="D42">
        <v>85766</v>
      </c>
      <c r="E42" t="s">
        <v>19</v>
      </c>
      <c r="F42" t="s">
        <v>22</v>
      </c>
      <c r="G42" t="s">
        <v>20</v>
      </c>
      <c r="H42">
        <v>5499</v>
      </c>
      <c r="I42">
        <v>4.2699999999999996</v>
      </c>
      <c r="J42">
        <v>492600</v>
      </c>
    </row>
    <row r="43" spans="1:10" x14ac:dyDescent="0.25">
      <c r="A43" s="1">
        <v>45443</v>
      </c>
      <c r="B43" t="s">
        <v>14</v>
      </c>
      <c r="C43">
        <v>2161</v>
      </c>
      <c r="D43">
        <v>54262</v>
      </c>
      <c r="E43" t="s">
        <v>23</v>
      </c>
      <c r="F43" t="s">
        <v>22</v>
      </c>
      <c r="G43" t="s">
        <v>13</v>
      </c>
      <c r="H43">
        <v>7295</v>
      </c>
      <c r="I43">
        <v>0.98</v>
      </c>
      <c r="J43">
        <v>432200</v>
      </c>
    </row>
    <row r="44" spans="1:10" x14ac:dyDescent="0.25">
      <c r="A44" s="1">
        <v>45447</v>
      </c>
      <c r="B44" t="s">
        <v>14</v>
      </c>
      <c r="C44">
        <v>341</v>
      </c>
      <c r="D44">
        <v>295920</v>
      </c>
      <c r="E44" t="s">
        <v>23</v>
      </c>
      <c r="F44" t="s">
        <v>18</v>
      </c>
      <c r="G44" t="s">
        <v>13</v>
      </c>
      <c r="H44">
        <v>13183</v>
      </c>
      <c r="I44">
        <v>8.92</v>
      </c>
      <c r="J44">
        <v>68200</v>
      </c>
    </row>
    <row r="45" spans="1:10" x14ac:dyDescent="0.25">
      <c r="A45" s="1">
        <v>45451</v>
      </c>
      <c r="B45" t="s">
        <v>21</v>
      </c>
      <c r="C45">
        <v>2141</v>
      </c>
      <c r="D45">
        <v>171152</v>
      </c>
      <c r="E45" t="s">
        <v>11</v>
      </c>
      <c r="F45" t="s">
        <v>16</v>
      </c>
      <c r="G45" t="s">
        <v>13</v>
      </c>
      <c r="H45">
        <v>30299</v>
      </c>
      <c r="I45">
        <v>0.76</v>
      </c>
      <c r="J45">
        <v>428200</v>
      </c>
    </row>
    <row r="46" spans="1:10" x14ac:dyDescent="0.25">
      <c r="A46" s="1">
        <v>45454</v>
      </c>
      <c r="B46" t="s">
        <v>14</v>
      </c>
      <c r="C46">
        <v>2924</v>
      </c>
      <c r="D46">
        <v>138376</v>
      </c>
      <c r="E46" t="s">
        <v>23</v>
      </c>
      <c r="F46" t="s">
        <v>22</v>
      </c>
      <c r="G46" t="s">
        <v>20</v>
      </c>
      <c r="H46">
        <v>13874</v>
      </c>
      <c r="I46">
        <v>6</v>
      </c>
      <c r="J46">
        <v>584800</v>
      </c>
    </row>
    <row r="47" spans="1:10" x14ac:dyDescent="0.25">
      <c r="A47" s="1">
        <v>45458</v>
      </c>
      <c r="B47" t="s">
        <v>14</v>
      </c>
      <c r="C47">
        <v>2712</v>
      </c>
      <c r="D47">
        <v>147848</v>
      </c>
      <c r="E47" t="s">
        <v>11</v>
      </c>
      <c r="F47" t="s">
        <v>12</v>
      </c>
      <c r="G47" t="s">
        <v>20</v>
      </c>
      <c r="H47">
        <v>33711</v>
      </c>
      <c r="I47">
        <v>4.67</v>
      </c>
      <c r="J47">
        <v>542400</v>
      </c>
    </row>
    <row r="48" spans="1:10" x14ac:dyDescent="0.25">
      <c r="A48" s="1">
        <v>45462</v>
      </c>
      <c r="B48" t="s">
        <v>21</v>
      </c>
      <c r="C48">
        <v>1463</v>
      </c>
      <c r="D48">
        <v>102787</v>
      </c>
      <c r="E48" t="s">
        <v>17</v>
      </c>
      <c r="F48" t="s">
        <v>12</v>
      </c>
      <c r="G48" t="s">
        <v>13</v>
      </c>
      <c r="H48">
        <v>6539</v>
      </c>
      <c r="I48">
        <v>6.88</v>
      </c>
      <c r="J48">
        <v>292600</v>
      </c>
    </row>
    <row r="49" spans="1:10" x14ac:dyDescent="0.25">
      <c r="A49" s="1">
        <v>45465</v>
      </c>
      <c r="B49" t="s">
        <v>14</v>
      </c>
      <c r="C49">
        <v>1578</v>
      </c>
      <c r="D49">
        <v>137948</v>
      </c>
      <c r="E49" t="s">
        <v>11</v>
      </c>
      <c r="F49" t="s">
        <v>12</v>
      </c>
      <c r="G49" t="s">
        <v>13</v>
      </c>
      <c r="H49">
        <v>43405</v>
      </c>
      <c r="I49">
        <v>3.62</v>
      </c>
      <c r="J49">
        <v>315600</v>
      </c>
    </row>
    <row r="50" spans="1:10" x14ac:dyDescent="0.25">
      <c r="A50" s="1">
        <v>45469</v>
      </c>
      <c r="B50" t="s">
        <v>21</v>
      </c>
      <c r="C50">
        <v>2656</v>
      </c>
      <c r="D50">
        <v>65016</v>
      </c>
      <c r="E50" t="s">
        <v>19</v>
      </c>
      <c r="F50" t="s">
        <v>18</v>
      </c>
      <c r="G50" t="s">
        <v>20</v>
      </c>
      <c r="H50">
        <v>49354</v>
      </c>
      <c r="I50">
        <v>1.97</v>
      </c>
      <c r="J50">
        <v>531200</v>
      </c>
    </row>
    <row r="51" spans="1:10" x14ac:dyDescent="0.25">
      <c r="A51" s="1">
        <v>45473</v>
      </c>
      <c r="B51" t="s">
        <v>21</v>
      </c>
      <c r="C51">
        <v>875</v>
      </c>
      <c r="D51">
        <v>31959</v>
      </c>
      <c r="E51" t="s">
        <v>19</v>
      </c>
      <c r="F51" t="s">
        <v>12</v>
      </c>
      <c r="G51" t="s">
        <v>20</v>
      </c>
      <c r="H51">
        <v>3557</v>
      </c>
      <c r="I51">
        <v>9.83</v>
      </c>
      <c r="J51">
        <v>175000</v>
      </c>
    </row>
    <row r="52" spans="1:10" x14ac:dyDescent="0.25">
      <c r="A52" s="1">
        <v>45476</v>
      </c>
      <c r="B52" t="s">
        <v>10</v>
      </c>
      <c r="C52">
        <v>4114</v>
      </c>
      <c r="D52">
        <v>146602</v>
      </c>
      <c r="E52" t="s">
        <v>11</v>
      </c>
      <c r="F52" t="s">
        <v>18</v>
      </c>
      <c r="G52" t="s">
        <v>13</v>
      </c>
      <c r="H52">
        <v>39360</v>
      </c>
      <c r="I52">
        <v>8.4700000000000006</v>
      </c>
      <c r="J52">
        <v>822800</v>
      </c>
    </row>
    <row r="53" spans="1:10" x14ac:dyDescent="0.25">
      <c r="A53" s="1">
        <v>45480</v>
      </c>
      <c r="B53" t="s">
        <v>21</v>
      </c>
      <c r="C53">
        <v>134</v>
      </c>
      <c r="D53">
        <v>235928</v>
      </c>
      <c r="E53" t="s">
        <v>17</v>
      </c>
      <c r="F53" t="s">
        <v>12</v>
      </c>
      <c r="G53" t="s">
        <v>20</v>
      </c>
      <c r="H53">
        <v>17482</v>
      </c>
      <c r="I53">
        <v>8.67</v>
      </c>
      <c r="J53">
        <v>26800</v>
      </c>
    </row>
    <row r="54" spans="1:10" x14ac:dyDescent="0.25">
      <c r="A54" s="1">
        <v>45484</v>
      </c>
      <c r="B54" t="s">
        <v>14</v>
      </c>
      <c r="C54">
        <v>3252</v>
      </c>
      <c r="D54">
        <v>275892</v>
      </c>
      <c r="E54" t="s">
        <v>17</v>
      </c>
      <c r="F54" t="s">
        <v>16</v>
      </c>
      <c r="G54" t="s">
        <v>13</v>
      </c>
      <c r="H54">
        <v>3200</v>
      </c>
      <c r="I54">
        <v>2.88</v>
      </c>
      <c r="J54">
        <v>650400</v>
      </c>
    </row>
    <row r="55" spans="1:10" x14ac:dyDescent="0.25">
      <c r="A55" s="1">
        <v>45487</v>
      </c>
      <c r="B55" t="s">
        <v>10</v>
      </c>
      <c r="C55">
        <v>2055</v>
      </c>
      <c r="D55">
        <v>238576</v>
      </c>
      <c r="E55" t="s">
        <v>19</v>
      </c>
      <c r="F55" t="s">
        <v>18</v>
      </c>
      <c r="G55" t="s">
        <v>20</v>
      </c>
      <c r="H55">
        <v>47940</v>
      </c>
      <c r="I55">
        <v>0.87</v>
      </c>
      <c r="J55">
        <v>411000</v>
      </c>
    </row>
    <row r="56" spans="1:10" x14ac:dyDescent="0.25">
      <c r="A56" s="1">
        <v>45491</v>
      </c>
      <c r="B56" t="s">
        <v>21</v>
      </c>
      <c r="C56">
        <v>1685</v>
      </c>
      <c r="D56">
        <v>23545</v>
      </c>
      <c r="E56" t="s">
        <v>17</v>
      </c>
      <c r="F56" t="s">
        <v>12</v>
      </c>
      <c r="G56" t="s">
        <v>13</v>
      </c>
      <c r="H56">
        <v>3961</v>
      </c>
      <c r="I56">
        <v>3.38</v>
      </c>
      <c r="J56">
        <v>337000</v>
      </c>
    </row>
    <row r="57" spans="1:10" x14ac:dyDescent="0.25">
      <c r="A57" s="1">
        <v>45495</v>
      </c>
      <c r="B57" t="s">
        <v>10</v>
      </c>
      <c r="C57">
        <v>4043</v>
      </c>
      <c r="D57">
        <v>175838</v>
      </c>
      <c r="E57" t="s">
        <v>23</v>
      </c>
      <c r="F57" t="s">
        <v>22</v>
      </c>
      <c r="G57" t="s">
        <v>13</v>
      </c>
      <c r="H57">
        <v>47975</v>
      </c>
      <c r="I57">
        <v>5.6</v>
      </c>
      <c r="J57">
        <v>808600</v>
      </c>
    </row>
    <row r="58" spans="1:10" x14ac:dyDescent="0.25">
      <c r="A58" s="1">
        <v>45498</v>
      </c>
      <c r="B58" t="s">
        <v>14</v>
      </c>
      <c r="C58">
        <v>3173</v>
      </c>
      <c r="D58">
        <v>71087</v>
      </c>
      <c r="E58" t="s">
        <v>15</v>
      </c>
      <c r="F58" t="s">
        <v>18</v>
      </c>
      <c r="G58" t="s">
        <v>20</v>
      </c>
      <c r="H58">
        <v>22357</v>
      </c>
      <c r="I58">
        <v>3.6</v>
      </c>
      <c r="J58">
        <v>634600</v>
      </c>
    </row>
    <row r="59" spans="1:10" x14ac:dyDescent="0.25">
      <c r="A59" s="1">
        <v>45502</v>
      </c>
      <c r="B59" t="s">
        <v>21</v>
      </c>
      <c r="C59">
        <v>1121</v>
      </c>
      <c r="D59">
        <v>78840</v>
      </c>
      <c r="E59" t="s">
        <v>23</v>
      </c>
      <c r="F59" t="s">
        <v>22</v>
      </c>
      <c r="G59" t="s">
        <v>20</v>
      </c>
      <c r="H59">
        <v>12969</v>
      </c>
      <c r="I59">
        <v>8.36</v>
      </c>
      <c r="J59">
        <v>224200</v>
      </c>
    </row>
    <row r="60" spans="1:10" x14ac:dyDescent="0.25">
      <c r="A60" s="1">
        <v>45506</v>
      </c>
      <c r="B60" t="s">
        <v>14</v>
      </c>
      <c r="C60">
        <v>3561</v>
      </c>
      <c r="D60">
        <v>128451</v>
      </c>
      <c r="E60" t="s">
        <v>19</v>
      </c>
      <c r="F60" t="s">
        <v>22</v>
      </c>
      <c r="G60" t="s">
        <v>20</v>
      </c>
      <c r="H60">
        <v>3869</v>
      </c>
      <c r="I60">
        <v>3.08</v>
      </c>
      <c r="J60">
        <v>712200</v>
      </c>
    </row>
    <row r="61" spans="1:10" x14ac:dyDescent="0.25">
      <c r="A61" s="1">
        <v>45509</v>
      </c>
      <c r="B61" t="s">
        <v>10</v>
      </c>
      <c r="C61">
        <v>2713</v>
      </c>
      <c r="D61">
        <v>49353</v>
      </c>
      <c r="E61" t="s">
        <v>17</v>
      </c>
      <c r="F61" t="s">
        <v>22</v>
      </c>
      <c r="G61" t="s">
        <v>20</v>
      </c>
      <c r="H61">
        <v>47760</v>
      </c>
      <c r="I61">
        <v>9.67</v>
      </c>
      <c r="J61">
        <v>542600</v>
      </c>
    </row>
    <row r="62" spans="1:10" x14ac:dyDescent="0.25">
      <c r="A62" s="1">
        <v>45513</v>
      </c>
      <c r="B62" t="s">
        <v>21</v>
      </c>
      <c r="C62">
        <v>3943</v>
      </c>
      <c r="D62">
        <v>203075</v>
      </c>
      <c r="E62" t="s">
        <v>11</v>
      </c>
      <c r="F62" t="s">
        <v>22</v>
      </c>
      <c r="G62" t="s">
        <v>20</v>
      </c>
      <c r="H62">
        <v>29643</v>
      </c>
      <c r="I62">
        <v>4.84</v>
      </c>
      <c r="J62">
        <v>788600</v>
      </c>
    </row>
    <row r="63" spans="1:10" x14ac:dyDescent="0.25">
      <c r="A63" s="1">
        <v>45517</v>
      </c>
      <c r="B63" t="s">
        <v>10</v>
      </c>
      <c r="C63">
        <v>1600</v>
      </c>
      <c r="D63">
        <v>224283</v>
      </c>
      <c r="E63" t="s">
        <v>15</v>
      </c>
      <c r="F63" t="s">
        <v>12</v>
      </c>
      <c r="G63" t="s">
        <v>13</v>
      </c>
      <c r="H63">
        <v>25736</v>
      </c>
      <c r="I63">
        <v>8.5</v>
      </c>
      <c r="J63">
        <v>320000</v>
      </c>
    </row>
    <row r="64" spans="1:10" x14ac:dyDescent="0.25">
      <c r="A64" s="1">
        <v>45520</v>
      </c>
      <c r="B64" t="s">
        <v>10</v>
      </c>
      <c r="C64">
        <v>4898</v>
      </c>
      <c r="D64">
        <v>75318</v>
      </c>
      <c r="E64" t="s">
        <v>11</v>
      </c>
      <c r="F64" t="s">
        <v>12</v>
      </c>
      <c r="G64" t="s">
        <v>20</v>
      </c>
      <c r="H64">
        <v>39467</v>
      </c>
      <c r="I64">
        <v>2.35</v>
      </c>
      <c r="J64">
        <v>979600</v>
      </c>
    </row>
    <row r="65" spans="1:10" x14ac:dyDescent="0.25">
      <c r="A65" s="1">
        <v>45524</v>
      </c>
      <c r="B65" t="s">
        <v>21</v>
      </c>
      <c r="C65">
        <v>261</v>
      </c>
      <c r="D65">
        <v>251025</v>
      </c>
      <c r="E65" t="s">
        <v>19</v>
      </c>
      <c r="F65" t="s">
        <v>18</v>
      </c>
      <c r="G65" t="s">
        <v>13</v>
      </c>
      <c r="H65">
        <v>24328</v>
      </c>
      <c r="I65">
        <v>4.41</v>
      </c>
      <c r="J65">
        <v>52200</v>
      </c>
    </row>
    <row r="66" spans="1:10" x14ac:dyDescent="0.25">
      <c r="A66" s="1">
        <v>45528</v>
      </c>
      <c r="B66" t="s">
        <v>10</v>
      </c>
      <c r="C66">
        <v>4397</v>
      </c>
      <c r="D66">
        <v>77172</v>
      </c>
      <c r="E66" t="s">
        <v>17</v>
      </c>
      <c r="F66" t="s">
        <v>18</v>
      </c>
      <c r="G66" t="s">
        <v>20</v>
      </c>
      <c r="H66">
        <v>26876</v>
      </c>
      <c r="I66">
        <v>7.15</v>
      </c>
      <c r="J66">
        <v>879400</v>
      </c>
    </row>
    <row r="67" spans="1:10" x14ac:dyDescent="0.25">
      <c r="A67" s="1">
        <v>45531</v>
      </c>
      <c r="B67" t="s">
        <v>14</v>
      </c>
      <c r="C67">
        <v>2081</v>
      </c>
      <c r="D67">
        <v>226688</v>
      </c>
      <c r="E67" t="s">
        <v>11</v>
      </c>
      <c r="F67" t="s">
        <v>18</v>
      </c>
      <c r="G67" t="s">
        <v>20</v>
      </c>
      <c r="H67">
        <v>22295</v>
      </c>
      <c r="I67">
        <v>1.81</v>
      </c>
      <c r="J67">
        <v>416200</v>
      </c>
    </row>
    <row r="68" spans="1:10" x14ac:dyDescent="0.25">
      <c r="A68" s="1">
        <v>45535</v>
      </c>
      <c r="B68" t="s">
        <v>10</v>
      </c>
      <c r="C68">
        <v>1095</v>
      </c>
      <c r="D68">
        <v>266951</v>
      </c>
      <c r="E68" t="s">
        <v>11</v>
      </c>
      <c r="F68" t="s">
        <v>12</v>
      </c>
      <c r="G68" t="s">
        <v>13</v>
      </c>
      <c r="H68">
        <v>4987</v>
      </c>
      <c r="I68">
        <v>1.76</v>
      </c>
      <c r="J68">
        <v>219000</v>
      </c>
    </row>
    <row r="69" spans="1:10" x14ac:dyDescent="0.25">
      <c r="A69" s="1">
        <v>45539</v>
      </c>
      <c r="B69" t="s">
        <v>14</v>
      </c>
      <c r="C69">
        <v>3442</v>
      </c>
      <c r="D69">
        <v>103264</v>
      </c>
      <c r="E69" t="s">
        <v>15</v>
      </c>
      <c r="F69" t="s">
        <v>18</v>
      </c>
      <c r="G69" t="s">
        <v>13</v>
      </c>
      <c r="H69">
        <v>23399</v>
      </c>
      <c r="I69">
        <v>9.7100000000000009</v>
      </c>
      <c r="J69">
        <v>688400</v>
      </c>
    </row>
    <row r="70" spans="1:10" x14ac:dyDescent="0.25">
      <c r="A70" s="1">
        <v>45543</v>
      </c>
      <c r="B70" t="s">
        <v>14</v>
      </c>
      <c r="C70">
        <v>4651</v>
      </c>
      <c r="D70">
        <v>256458</v>
      </c>
      <c r="E70" t="s">
        <v>15</v>
      </c>
      <c r="F70" t="s">
        <v>22</v>
      </c>
      <c r="G70" t="s">
        <v>20</v>
      </c>
      <c r="H70">
        <v>47214</v>
      </c>
      <c r="I70">
        <v>7.29</v>
      </c>
      <c r="J70">
        <v>930200</v>
      </c>
    </row>
    <row r="71" spans="1:10" x14ac:dyDescent="0.25">
      <c r="A71" s="1">
        <v>45546</v>
      </c>
      <c r="B71" t="s">
        <v>10</v>
      </c>
      <c r="C71">
        <v>3898</v>
      </c>
      <c r="D71">
        <v>298880</v>
      </c>
      <c r="E71" t="s">
        <v>17</v>
      </c>
      <c r="F71" t="s">
        <v>12</v>
      </c>
      <c r="G71" t="s">
        <v>13</v>
      </c>
      <c r="H71">
        <v>34986</v>
      </c>
      <c r="I71">
        <v>0.89</v>
      </c>
      <c r="J71">
        <v>779600</v>
      </c>
    </row>
    <row r="72" spans="1:10" x14ac:dyDescent="0.25">
      <c r="A72" s="1">
        <v>45550</v>
      </c>
      <c r="B72" t="s">
        <v>14</v>
      </c>
      <c r="C72">
        <v>1375</v>
      </c>
      <c r="D72">
        <v>235281</v>
      </c>
      <c r="E72" t="s">
        <v>15</v>
      </c>
      <c r="F72" t="s">
        <v>18</v>
      </c>
      <c r="G72" t="s">
        <v>20</v>
      </c>
      <c r="H72">
        <v>21880</v>
      </c>
      <c r="I72">
        <v>4.29</v>
      </c>
      <c r="J72">
        <v>275000</v>
      </c>
    </row>
    <row r="73" spans="1:10" x14ac:dyDescent="0.25">
      <c r="A73" s="1">
        <v>45554</v>
      </c>
      <c r="B73" t="s">
        <v>21</v>
      </c>
      <c r="C73">
        <v>1116</v>
      </c>
      <c r="D73">
        <v>122859</v>
      </c>
      <c r="E73" t="s">
        <v>11</v>
      </c>
      <c r="F73" t="s">
        <v>22</v>
      </c>
      <c r="G73" t="s">
        <v>20</v>
      </c>
      <c r="H73">
        <v>5735</v>
      </c>
      <c r="I73">
        <v>4.62</v>
      </c>
      <c r="J73">
        <v>223200</v>
      </c>
    </row>
    <row r="74" spans="1:10" x14ac:dyDescent="0.25">
      <c r="A74" s="1">
        <v>45557</v>
      </c>
      <c r="B74" t="s">
        <v>14</v>
      </c>
      <c r="C74">
        <v>437</v>
      </c>
      <c r="D74">
        <v>279536</v>
      </c>
      <c r="E74" t="s">
        <v>11</v>
      </c>
      <c r="F74" t="s">
        <v>18</v>
      </c>
      <c r="G74" t="s">
        <v>20</v>
      </c>
      <c r="H74">
        <v>45064</v>
      </c>
      <c r="I74">
        <v>7.57</v>
      </c>
      <c r="J74">
        <v>87400</v>
      </c>
    </row>
    <row r="75" spans="1:10" x14ac:dyDescent="0.25">
      <c r="A75" s="1">
        <v>45561</v>
      </c>
      <c r="B75" t="s">
        <v>14</v>
      </c>
      <c r="C75">
        <v>978</v>
      </c>
      <c r="D75">
        <v>267426</v>
      </c>
      <c r="E75" t="s">
        <v>19</v>
      </c>
      <c r="F75" t="s">
        <v>16</v>
      </c>
      <c r="G75" t="s">
        <v>13</v>
      </c>
      <c r="H75">
        <v>5555</v>
      </c>
      <c r="I75">
        <v>2.88</v>
      </c>
      <c r="J75">
        <v>195600</v>
      </c>
    </row>
    <row r="76" spans="1:10" x14ac:dyDescent="0.25">
      <c r="A76" s="1">
        <v>45565</v>
      </c>
      <c r="B76" t="s">
        <v>14</v>
      </c>
      <c r="C76">
        <v>1176</v>
      </c>
      <c r="D76">
        <v>187789</v>
      </c>
      <c r="E76" t="s">
        <v>11</v>
      </c>
      <c r="F76" t="s">
        <v>18</v>
      </c>
      <c r="G76" t="s">
        <v>13</v>
      </c>
      <c r="H76">
        <v>42914</v>
      </c>
      <c r="I76">
        <v>2.25</v>
      </c>
      <c r="J76">
        <v>235200</v>
      </c>
    </row>
    <row r="77" spans="1:10" x14ac:dyDescent="0.25">
      <c r="A77" s="1">
        <v>45568</v>
      </c>
      <c r="B77" t="s">
        <v>21</v>
      </c>
      <c r="C77">
        <v>4987</v>
      </c>
      <c r="D77">
        <v>228164</v>
      </c>
      <c r="E77" t="s">
        <v>17</v>
      </c>
      <c r="F77" t="s">
        <v>16</v>
      </c>
      <c r="G77" t="s">
        <v>20</v>
      </c>
      <c r="H77">
        <v>41818</v>
      </c>
      <c r="I77">
        <v>1.27</v>
      </c>
      <c r="J77">
        <v>997400</v>
      </c>
    </row>
    <row r="78" spans="1:10" x14ac:dyDescent="0.25">
      <c r="A78" s="1">
        <v>45572</v>
      </c>
      <c r="B78" t="s">
        <v>21</v>
      </c>
      <c r="C78">
        <v>4093</v>
      </c>
      <c r="D78">
        <v>135657</v>
      </c>
      <c r="E78" t="s">
        <v>23</v>
      </c>
      <c r="F78" t="s">
        <v>18</v>
      </c>
      <c r="G78" t="s">
        <v>20</v>
      </c>
      <c r="H78">
        <v>46525</v>
      </c>
      <c r="I78">
        <v>4.57</v>
      </c>
      <c r="J78">
        <v>818600</v>
      </c>
    </row>
    <row r="79" spans="1:10" x14ac:dyDescent="0.25">
      <c r="A79" s="1">
        <v>45576</v>
      </c>
      <c r="B79" t="s">
        <v>21</v>
      </c>
      <c r="C79">
        <v>4959</v>
      </c>
      <c r="D79">
        <v>245167</v>
      </c>
      <c r="E79" t="s">
        <v>19</v>
      </c>
      <c r="F79" t="s">
        <v>18</v>
      </c>
      <c r="G79" t="s">
        <v>20</v>
      </c>
      <c r="H79">
        <v>20830</v>
      </c>
      <c r="I79">
        <v>7.04</v>
      </c>
      <c r="J79">
        <v>991800</v>
      </c>
    </row>
    <row r="80" spans="1:10" x14ac:dyDescent="0.25">
      <c r="A80" s="1">
        <v>45579</v>
      </c>
      <c r="B80" t="s">
        <v>10</v>
      </c>
      <c r="C80">
        <v>479</v>
      </c>
      <c r="D80">
        <v>167381</v>
      </c>
      <c r="E80" t="s">
        <v>19</v>
      </c>
      <c r="F80" t="s">
        <v>12</v>
      </c>
      <c r="G80" t="s">
        <v>20</v>
      </c>
      <c r="H80">
        <v>18429</v>
      </c>
      <c r="I80">
        <v>1.05</v>
      </c>
      <c r="J80">
        <v>95800</v>
      </c>
    </row>
    <row r="81" spans="1:10" x14ac:dyDescent="0.25">
      <c r="A81" s="1">
        <v>45583</v>
      </c>
      <c r="B81" t="s">
        <v>21</v>
      </c>
      <c r="C81">
        <v>592</v>
      </c>
      <c r="D81">
        <v>204806</v>
      </c>
      <c r="E81" t="s">
        <v>17</v>
      </c>
      <c r="F81" t="s">
        <v>12</v>
      </c>
      <c r="G81" t="s">
        <v>13</v>
      </c>
      <c r="H81">
        <v>7893</v>
      </c>
      <c r="I81">
        <v>9.19</v>
      </c>
      <c r="J81">
        <v>118400</v>
      </c>
    </row>
    <row r="82" spans="1:10" x14ac:dyDescent="0.25">
      <c r="A82" s="1">
        <v>45587</v>
      </c>
      <c r="B82" t="s">
        <v>14</v>
      </c>
      <c r="C82">
        <v>2162</v>
      </c>
      <c r="D82">
        <v>80467</v>
      </c>
      <c r="E82" t="s">
        <v>17</v>
      </c>
      <c r="F82" t="s">
        <v>16</v>
      </c>
      <c r="G82" t="s">
        <v>20</v>
      </c>
      <c r="H82">
        <v>15373</v>
      </c>
      <c r="I82">
        <v>4.7</v>
      </c>
      <c r="J82">
        <v>432400</v>
      </c>
    </row>
    <row r="83" spans="1:10" x14ac:dyDescent="0.25">
      <c r="A83" s="1">
        <v>45590</v>
      </c>
      <c r="B83" t="s">
        <v>21</v>
      </c>
      <c r="C83">
        <v>3984</v>
      </c>
      <c r="D83">
        <v>193734</v>
      </c>
      <c r="E83" t="s">
        <v>15</v>
      </c>
      <c r="F83" t="s">
        <v>12</v>
      </c>
      <c r="G83" t="s">
        <v>20</v>
      </c>
      <c r="H83">
        <v>48333</v>
      </c>
      <c r="I83">
        <v>2.78</v>
      </c>
      <c r="J83">
        <v>796800</v>
      </c>
    </row>
    <row r="84" spans="1:10" x14ac:dyDescent="0.25">
      <c r="A84" s="1">
        <v>45594</v>
      </c>
      <c r="B84" t="s">
        <v>21</v>
      </c>
      <c r="C84">
        <v>164</v>
      </c>
      <c r="D84">
        <v>108506</v>
      </c>
      <c r="E84" t="s">
        <v>19</v>
      </c>
      <c r="F84" t="s">
        <v>22</v>
      </c>
      <c r="G84" t="s">
        <v>13</v>
      </c>
      <c r="H84">
        <v>4436</v>
      </c>
      <c r="I84">
        <v>1.39</v>
      </c>
      <c r="J84">
        <v>32800</v>
      </c>
    </row>
    <row r="85" spans="1:10" x14ac:dyDescent="0.25">
      <c r="A85" s="1">
        <v>45598</v>
      </c>
      <c r="B85" t="s">
        <v>14</v>
      </c>
      <c r="C85">
        <v>2668</v>
      </c>
      <c r="D85">
        <v>119751</v>
      </c>
      <c r="E85" t="s">
        <v>15</v>
      </c>
      <c r="F85" t="s">
        <v>22</v>
      </c>
      <c r="G85" t="s">
        <v>13</v>
      </c>
      <c r="H85">
        <v>9754</v>
      </c>
      <c r="I85">
        <v>2.2400000000000002</v>
      </c>
      <c r="J85">
        <v>533600</v>
      </c>
    </row>
    <row r="86" spans="1:10" x14ac:dyDescent="0.25">
      <c r="A86" s="1">
        <v>45601</v>
      </c>
      <c r="B86" t="s">
        <v>10</v>
      </c>
      <c r="C86">
        <v>2127</v>
      </c>
      <c r="D86">
        <v>297486</v>
      </c>
      <c r="E86" t="s">
        <v>11</v>
      </c>
      <c r="F86" t="s">
        <v>16</v>
      </c>
      <c r="G86" t="s">
        <v>20</v>
      </c>
      <c r="H86">
        <v>11677</v>
      </c>
      <c r="I86">
        <v>9.3800000000000008</v>
      </c>
      <c r="J86">
        <v>425400</v>
      </c>
    </row>
    <row r="87" spans="1:10" x14ac:dyDescent="0.25">
      <c r="A87" s="1">
        <v>45605</v>
      </c>
      <c r="B87" t="s">
        <v>21</v>
      </c>
      <c r="C87">
        <v>2795</v>
      </c>
      <c r="D87">
        <v>178229</v>
      </c>
      <c r="E87" t="s">
        <v>19</v>
      </c>
      <c r="F87" t="s">
        <v>22</v>
      </c>
      <c r="G87" t="s">
        <v>13</v>
      </c>
      <c r="H87">
        <v>6895</v>
      </c>
      <c r="I87">
        <v>6.56</v>
      </c>
      <c r="J87">
        <v>559000</v>
      </c>
    </row>
    <row r="88" spans="1:10" x14ac:dyDescent="0.25">
      <c r="A88" s="1">
        <v>45609</v>
      </c>
      <c r="B88" t="s">
        <v>10</v>
      </c>
      <c r="C88">
        <v>1595</v>
      </c>
      <c r="D88">
        <v>116081</v>
      </c>
      <c r="E88" t="s">
        <v>19</v>
      </c>
      <c r="F88" t="s">
        <v>22</v>
      </c>
      <c r="G88" t="s">
        <v>20</v>
      </c>
      <c r="H88">
        <v>20738</v>
      </c>
      <c r="I88">
        <v>5.41</v>
      </c>
      <c r="J88">
        <v>319000</v>
      </c>
    </row>
    <row r="89" spans="1:10" x14ac:dyDescent="0.25">
      <c r="A89" s="1">
        <v>45612</v>
      </c>
      <c r="B89" t="s">
        <v>10</v>
      </c>
      <c r="C89">
        <v>491</v>
      </c>
      <c r="D89">
        <v>99045</v>
      </c>
      <c r="E89" t="s">
        <v>23</v>
      </c>
      <c r="F89" t="s">
        <v>18</v>
      </c>
      <c r="G89" t="s">
        <v>20</v>
      </c>
      <c r="H89">
        <v>31746</v>
      </c>
      <c r="I89">
        <v>6.74</v>
      </c>
      <c r="J89">
        <v>98200</v>
      </c>
    </row>
    <row r="90" spans="1:10" x14ac:dyDescent="0.25">
      <c r="A90" s="1">
        <v>45616</v>
      </c>
      <c r="B90" t="s">
        <v>10</v>
      </c>
      <c r="C90">
        <v>4614</v>
      </c>
      <c r="D90">
        <v>44698</v>
      </c>
      <c r="E90" t="s">
        <v>19</v>
      </c>
      <c r="F90" t="s">
        <v>12</v>
      </c>
      <c r="G90" t="s">
        <v>13</v>
      </c>
      <c r="H90">
        <v>49404</v>
      </c>
      <c r="I90">
        <v>4.6399999999999997</v>
      </c>
      <c r="J90">
        <v>922800</v>
      </c>
    </row>
    <row r="91" spans="1:10" x14ac:dyDescent="0.25">
      <c r="A91" s="1">
        <v>45620</v>
      </c>
      <c r="B91" t="s">
        <v>14</v>
      </c>
      <c r="C91">
        <v>4574</v>
      </c>
      <c r="D91">
        <v>120078</v>
      </c>
      <c r="E91" t="s">
        <v>11</v>
      </c>
      <c r="F91" t="s">
        <v>22</v>
      </c>
      <c r="G91" t="s">
        <v>20</v>
      </c>
      <c r="H91">
        <v>33352</v>
      </c>
      <c r="I91">
        <v>7.44</v>
      </c>
      <c r="J91">
        <v>914800</v>
      </c>
    </row>
    <row r="92" spans="1:10" x14ac:dyDescent="0.25">
      <c r="A92" s="1">
        <v>45623</v>
      </c>
      <c r="B92" t="s">
        <v>10</v>
      </c>
      <c r="C92">
        <v>3661</v>
      </c>
      <c r="D92">
        <v>32671</v>
      </c>
      <c r="E92" t="s">
        <v>15</v>
      </c>
      <c r="F92" t="s">
        <v>22</v>
      </c>
      <c r="G92" t="s">
        <v>13</v>
      </c>
      <c r="H92">
        <v>40790</v>
      </c>
      <c r="I92">
        <v>0.95</v>
      </c>
      <c r="J92">
        <v>732200</v>
      </c>
    </row>
    <row r="93" spans="1:10" x14ac:dyDescent="0.25">
      <c r="A93" s="1">
        <v>45627</v>
      </c>
      <c r="B93" t="s">
        <v>10</v>
      </c>
      <c r="C93">
        <v>2378</v>
      </c>
      <c r="D93">
        <v>96202</v>
      </c>
      <c r="E93" t="s">
        <v>15</v>
      </c>
      <c r="F93" t="s">
        <v>12</v>
      </c>
      <c r="G93" t="s">
        <v>20</v>
      </c>
      <c r="H93">
        <v>42919</v>
      </c>
      <c r="I93">
        <v>5.88</v>
      </c>
      <c r="J93">
        <v>475600</v>
      </c>
    </row>
    <row r="94" spans="1:10" x14ac:dyDescent="0.25">
      <c r="A94" s="1">
        <v>45631</v>
      </c>
      <c r="B94" t="s">
        <v>14</v>
      </c>
      <c r="C94">
        <v>3199</v>
      </c>
      <c r="D94">
        <v>61663</v>
      </c>
      <c r="E94" t="s">
        <v>23</v>
      </c>
      <c r="F94" t="s">
        <v>22</v>
      </c>
      <c r="G94" t="s">
        <v>20</v>
      </c>
      <c r="H94">
        <v>6600</v>
      </c>
      <c r="I94">
        <v>2.0099999999999998</v>
      </c>
      <c r="J94">
        <v>639800</v>
      </c>
    </row>
    <row r="95" spans="1:10" x14ac:dyDescent="0.25">
      <c r="A95" s="1">
        <v>45634</v>
      </c>
      <c r="B95" t="s">
        <v>10</v>
      </c>
      <c r="C95">
        <v>300</v>
      </c>
      <c r="D95">
        <v>25708</v>
      </c>
      <c r="E95" t="s">
        <v>11</v>
      </c>
      <c r="F95" t="s">
        <v>22</v>
      </c>
      <c r="G95" t="s">
        <v>13</v>
      </c>
      <c r="H95">
        <v>30124</v>
      </c>
      <c r="I95">
        <v>1.64</v>
      </c>
      <c r="J95">
        <v>60000</v>
      </c>
    </row>
    <row r="96" spans="1:10" x14ac:dyDescent="0.25">
      <c r="A96" s="1">
        <v>45638</v>
      </c>
      <c r="B96" t="s">
        <v>10</v>
      </c>
      <c r="C96">
        <v>4975</v>
      </c>
      <c r="D96">
        <v>143883</v>
      </c>
      <c r="E96" t="s">
        <v>15</v>
      </c>
      <c r="F96" t="s">
        <v>12</v>
      </c>
      <c r="G96" t="s">
        <v>13</v>
      </c>
      <c r="H96">
        <v>28643</v>
      </c>
      <c r="I96">
        <v>3.75</v>
      </c>
      <c r="J96">
        <v>995000</v>
      </c>
    </row>
    <row r="97" spans="1:10" x14ac:dyDescent="0.25">
      <c r="A97" s="1">
        <v>45642</v>
      </c>
      <c r="B97" t="s">
        <v>14</v>
      </c>
      <c r="C97">
        <v>3204</v>
      </c>
      <c r="D97">
        <v>122547</v>
      </c>
      <c r="E97" t="s">
        <v>17</v>
      </c>
      <c r="F97" t="s">
        <v>18</v>
      </c>
      <c r="G97" t="s">
        <v>13</v>
      </c>
      <c r="H97">
        <v>41764</v>
      </c>
      <c r="I97">
        <v>1.37</v>
      </c>
      <c r="J97">
        <v>640800</v>
      </c>
    </row>
    <row r="98" spans="1:10" x14ac:dyDescent="0.25">
      <c r="A98" s="1">
        <v>45645</v>
      </c>
      <c r="B98" t="s">
        <v>14</v>
      </c>
      <c r="C98">
        <v>4698</v>
      </c>
      <c r="D98">
        <v>44754</v>
      </c>
      <c r="E98" t="s">
        <v>11</v>
      </c>
      <c r="F98" t="s">
        <v>22</v>
      </c>
      <c r="G98" t="s">
        <v>20</v>
      </c>
      <c r="H98">
        <v>10007</v>
      </c>
      <c r="I98">
        <v>1.39</v>
      </c>
      <c r="J98">
        <v>939600</v>
      </c>
    </row>
    <row r="99" spans="1:10" x14ac:dyDescent="0.25">
      <c r="A99" s="1">
        <v>45649</v>
      </c>
      <c r="B99" t="s">
        <v>21</v>
      </c>
      <c r="C99">
        <v>2554</v>
      </c>
      <c r="D99">
        <v>236814</v>
      </c>
      <c r="E99" t="s">
        <v>11</v>
      </c>
      <c r="F99" t="s">
        <v>12</v>
      </c>
      <c r="G99" t="s">
        <v>20</v>
      </c>
      <c r="H99">
        <v>46714</v>
      </c>
      <c r="I99">
        <v>3.46</v>
      </c>
      <c r="J99">
        <v>510800</v>
      </c>
    </row>
    <row r="100" spans="1:10" x14ac:dyDescent="0.25">
      <c r="A100" s="1">
        <v>45653</v>
      </c>
      <c r="B100" t="s">
        <v>21</v>
      </c>
      <c r="C100">
        <v>3745</v>
      </c>
      <c r="D100">
        <v>247714</v>
      </c>
      <c r="E100" t="s">
        <v>23</v>
      </c>
      <c r="F100" t="s">
        <v>22</v>
      </c>
      <c r="G100" t="s">
        <v>20</v>
      </c>
      <c r="H100">
        <v>38410</v>
      </c>
      <c r="I100">
        <v>9.81</v>
      </c>
      <c r="J100">
        <v>749000</v>
      </c>
    </row>
    <row r="101" spans="1:10" x14ac:dyDescent="0.25">
      <c r="A101" s="1">
        <v>45657</v>
      </c>
      <c r="B101" t="s">
        <v>21</v>
      </c>
      <c r="C101">
        <v>904</v>
      </c>
      <c r="D101">
        <v>152483</v>
      </c>
      <c r="E101" t="s">
        <v>15</v>
      </c>
      <c r="F101" t="s">
        <v>22</v>
      </c>
      <c r="G101" t="s">
        <v>20</v>
      </c>
      <c r="H101">
        <v>45080</v>
      </c>
      <c r="I101">
        <v>2.17</v>
      </c>
      <c r="J101">
        <v>180800</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3F574-AB79-4490-BB07-9CF910F46912}">
  <dimension ref="B2:K26"/>
  <sheetViews>
    <sheetView zoomScale="135" workbookViewId="0"/>
  </sheetViews>
  <sheetFormatPr defaultRowHeight="15" x14ac:dyDescent="0.25"/>
  <cols>
    <col min="2" max="3" width="16.7109375" bestFit="1" customWidth="1"/>
    <col min="4" max="4" width="26.85546875" bestFit="1" customWidth="1"/>
    <col min="5" max="5" width="13.140625" bestFit="1" customWidth="1"/>
    <col min="6" max="6" width="21.7109375" bestFit="1" customWidth="1"/>
    <col min="7" max="7" width="16.42578125" customWidth="1"/>
    <col min="8" max="8" width="14" bestFit="1" customWidth="1"/>
    <col min="9" max="10" width="16.7109375" bestFit="1" customWidth="1"/>
  </cols>
  <sheetData>
    <row r="2" spans="2:11" x14ac:dyDescent="0.25">
      <c r="B2" t="s">
        <v>24</v>
      </c>
      <c r="C2" t="s">
        <v>25</v>
      </c>
      <c r="D2" t="s">
        <v>26</v>
      </c>
      <c r="E2" t="s">
        <v>27</v>
      </c>
      <c r="G2" t="s">
        <v>28</v>
      </c>
    </row>
    <row r="3" spans="2:11" x14ac:dyDescent="0.25">
      <c r="B3" s="4">
        <v>84893</v>
      </c>
      <c r="C3" s="3">
        <v>5239178</v>
      </c>
      <c r="D3" s="3">
        <v>1022963</v>
      </c>
      <c r="E3" s="3">
        <v>16978600</v>
      </c>
    </row>
    <row r="4" spans="2:11" x14ac:dyDescent="0.25">
      <c r="G4" t="s">
        <v>29</v>
      </c>
      <c r="H4" s="5">
        <f>GETPIVOTDATA("Units Sold",$B$2)</f>
        <v>84893</v>
      </c>
    </row>
    <row r="5" spans="2:11" x14ac:dyDescent="0.25">
      <c r="G5" t="s">
        <v>30</v>
      </c>
      <c r="H5" s="3">
        <f>GETPIVOTDATA("Sum of Revenue ($)",$C$2)</f>
        <v>5239178</v>
      </c>
    </row>
    <row r="6" spans="2:11" x14ac:dyDescent="0.25">
      <c r="G6" t="s">
        <v>31</v>
      </c>
      <c r="H6" s="3">
        <f>GETPIVOTDATA("Sum of Marketing Budget ($)",$C$2)</f>
        <v>1022963</v>
      </c>
    </row>
    <row r="7" spans="2:11" x14ac:dyDescent="0.25">
      <c r="G7" t="s">
        <v>32</v>
      </c>
      <c r="H7" s="3">
        <f>GETPIVOTDATA("Sum of Product Cost ($)",$C$2)</f>
        <v>16978600</v>
      </c>
    </row>
    <row r="9" spans="2:11" x14ac:dyDescent="0.25">
      <c r="B9" s="9" t="s">
        <v>34</v>
      </c>
      <c r="C9" s="9"/>
      <c r="D9" s="9"/>
      <c r="E9" s="9"/>
      <c r="F9" s="9"/>
      <c r="G9" s="9"/>
      <c r="H9" s="9"/>
      <c r="I9" s="9"/>
    </row>
    <row r="12" spans="2:11" x14ac:dyDescent="0.25">
      <c r="B12" t="s">
        <v>33</v>
      </c>
      <c r="E12" t="s">
        <v>48</v>
      </c>
      <c r="H12" t="str">
        <f>"Peak Regional sales: " &amp; INDEX(H14:H18, MATCH(MAX(I14:I18), I14:I18, 0)) &amp; " with " &amp; TEXT(MAX(I14:I18), "$#,##0") &amp; " in Sales"</f>
        <v>Peak Regional sales: Africa with $22,154 in Sales</v>
      </c>
    </row>
    <row r="13" spans="2:11" x14ac:dyDescent="0.25">
      <c r="B13" t="str">
        <f>"Peak Sales Month: " &amp; INDEX(B15:B26, MATCH(MAX(C15:C26), C15:C26, 0)) &amp; " with " &amp; TEXT(MAX(C15:C26), "$#,##0") &amp; " in Sales"</f>
        <v>Peak Sales Month: Grand Total with $84,893 in Sales</v>
      </c>
      <c r="E13" s="2" t="s">
        <v>35</v>
      </c>
      <c r="F13" t="s">
        <v>49</v>
      </c>
      <c r="H13" s="2" t="s">
        <v>35</v>
      </c>
      <c r="I13" t="s">
        <v>24</v>
      </c>
      <c r="J13" t="s">
        <v>50</v>
      </c>
      <c r="K13" t="s">
        <v>29</v>
      </c>
    </row>
    <row r="14" spans="2:11" x14ac:dyDescent="0.25">
      <c r="B14" s="2" t="s">
        <v>35</v>
      </c>
      <c r="C14" t="s">
        <v>24</v>
      </c>
      <c r="E14" s="6" t="s">
        <v>12</v>
      </c>
      <c r="F14" s="4">
        <v>14</v>
      </c>
      <c r="H14" s="6" t="s">
        <v>11</v>
      </c>
      <c r="I14" s="7">
        <v>22154</v>
      </c>
      <c r="J14" s="6" t="s">
        <v>11</v>
      </c>
      <c r="K14" s="7">
        <v>51231</v>
      </c>
    </row>
    <row r="15" spans="2:11" x14ac:dyDescent="0.25">
      <c r="B15" s="6" t="s">
        <v>37</v>
      </c>
      <c r="C15" s="7">
        <v>1756</v>
      </c>
      <c r="E15" s="6" t="s">
        <v>18</v>
      </c>
      <c r="F15" s="4">
        <v>8</v>
      </c>
      <c r="H15" s="6" t="s">
        <v>17</v>
      </c>
      <c r="I15" s="7">
        <v>16876</v>
      </c>
      <c r="J15" s="6" t="s">
        <v>17</v>
      </c>
      <c r="K15" s="7">
        <v>46669</v>
      </c>
    </row>
    <row r="16" spans="2:11" x14ac:dyDescent="0.25">
      <c r="B16" s="6" t="s">
        <v>38</v>
      </c>
      <c r="C16" s="7">
        <v>10548</v>
      </c>
      <c r="E16" s="6" t="s">
        <v>16</v>
      </c>
      <c r="F16" s="4">
        <v>3</v>
      </c>
      <c r="H16" s="6" t="s">
        <v>15</v>
      </c>
      <c r="I16" s="7">
        <v>21229</v>
      </c>
      <c r="J16" s="6" t="s">
        <v>15</v>
      </c>
      <c r="K16" s="7">
        <v>60552</v>
      </c>
    </row>
    <row r="17" spans="2:11" x14ac:dyDescent="0.25">
      <c r="B17" s="6" t="s">
        <v>39</v>
      </c>
      <c r="C17" s="7">
        <v>5880</v>
      </c>
      <c r="E17" s="6" t="s">
        <v>22</v>
      </c>
      <c r="F17" s="4">
        <v>9</v>
      </c>
      <c r="H17" s="6" t="s">
        <v>19</v>
      </c>
      <c r="I17" s="7">
        <v>12611</v>
      </c>
      <c r="J17" s="6" t="s">
        <v>19</v>
      </c>
      <c r="K17" s="7">
        <v>44298</v>
      </c>
    </row>
    <row r="18" spans="2:11" x14ac:dyDescent="0.25">
      <c r="B18" s="6" t="s">
        <v>40</v>
      </c>
      <c r="C18" s="7">
        <v>10986</v>
      </c>
      <c r="E18" s="6" t="s">
        <v>36</v>
      </c>
      <c r="F18" s="7">
        <v>34</v>
      </c>
      <c r="H18" s="6" t="s">
        <v>23</v>
      </c>
      <c r="I18" s="7">
        <v>12023</v>
      </c>
      <c r="J18" s="6" t="s">
        <v>23</v>
      </c>
      <c r="K18" s="7">
        <v>46397</v>
      </c>
    </row>
    <row r="19" spans="2:11" x14ac:dyDescent="0.25">
      <c r="B19" s="6" t="s">
        <v>41</v>
      </c>
      <c r="C19" s="7">
        <v>6290</v>
      </c>
      <c r="H19" s="6" t="s">
        <v>36</v>
      </c>
      <c r="I19" s="7">
        <v>84893</v>
      </c>
    </row>
    <row r="20" spans="2:11" x14ac:dyDescent="0.25">
      <c r="B20" s="6" t="s">
        <v>42</v>
      </c>
      <c r="C20" s="7">
        <v>10212</v>
      </c>
    </row>
    <row r="21" spans="2:11" x14ac:dyDescent="0.25">
      <c r="B21" s="6" t="s">
        <v>43</v>
      </c>
      <c r="C21" s="7">
        <v>14703</v>
      </c>
      <c r="E21" s="6" t="s">
        <v>51</v>
      </c>
    </row>
    <row r="22" spans="2:11" x14ac:dyDescent="0.25">
      <c r="B22" s="6" t="s">
        <v>44</v>
      </c>
      <c r="C22" s="7">
        <v>3898</v>
      </c>
    </row>
    <row r="23" spans="2:11" x14ac:dyDescent="0.25">
      <c r="B23" s="6" t="s">
        <v>45</v>
      </c>
      <c r="C23" s="7">
        <v>479</v>
      </c>
      <c r="E23" s="2" t="s">
        <v>35</v>
      </c>
      <c r="F23" t="s">
        <v>52</v>
      </c>
    </row>
    <row r="24" spans="2:11" x14ac:dyDescent="0.25">
      <c r="B24" s="6" t="s">
        <v>46</v>
      </c>
      <c r="C24" s="7">
        <v>12488</v>
      </c>
      <c r="E24" s="6" t="s">
        <v>20</v>
      </c>
      <c r="F24" s="4">
        <v>16</v>
      </c>
    </row>
    <row r="25" spans="2:11" x14ac:dyDescent="0.25">
      <c r="B25" s="6" t="s">
        <v>47</v>
      </c>
      <c r="C25" s="7">
        <v>7653</v>
      </c>
      <c r="E25" s="6" t="s">
        <v>13</v>
      </c>
      <c r="F25" s="4">
        <v>18</v>
      </c>
    </row>
    <row r="26" spans="2:11" x14ac:dyDescent="0.25">
      <c r="B26" s="6" t="s">
        <v>36</v>
      </c>
      <c r="C26" s="7">
        <v>84893</v>
      </c>
      <c r="E26" s="6" t="s">
        <v>36</v>
      </c>
      <c r="F26" s="7">
        <v>34</v>
      </c>
    </row>
  </sheetData>
  <mergeCells count="1">
    <mergeCell ref="B9:I9"/>
  </mergeCells>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B8824-DC61-4664-BAF8-04EF94BD7BD5}">
  <dimension ref="A1"/>
  <sheetViews>
    <sheetView showGridLines="0" tabSelected="1" topLeftCell="B5" zoomScale="71" zoomScaleNormal="69" workbookViewId="0">
      <selection activeCell="W18" sqref="W18"/>
    </sheetView>
  </sheetViews>
  <sheetFormatPr defaultRowHeight="15" x14ac:dyDescent="0.25"/>
  <cols>
    <col min="1" max="16384" width="9.14062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E59BDA1-CD2D-47DC-AC0F-4637E88D952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DATASET</vt:lpstr>
      <vt:lpstr>ANALYSIS</vt:lpstr>
      <vt:lpstr>DASHBOARD</vt:lpstr>
      <vt:lpstr>Mbudget</vt:lpstr>
      <vt:lpstr>mTrend</vt:lpstr>
      <vt:lpstr>PPcosst</vt:lpstr>
      <vt:lpstr>renvenue</vt:lpstr>
      <vt:lpstr>Rtrend</vt:lpstr>
      <vt:lpstr>UNITS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Loganathan Balan</dc:creator>
  <cp:lastModifiedBy>Loganathan Balan</cp:lastModifiedBy>
  <dcterms:created xsi:type="dcterms:W3CDTF">2025-11-25T17:53:59Z</dcterms:created>
  <dcterms:modified xsi:type="dcterms:W3CDTF">2025-11-26T05:13:21Z</dcterms:modified>
</cp:coreProperties>
</file>